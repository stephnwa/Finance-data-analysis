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ph\Documents\"/>
    </mc:Choice>
  </mc:AlternateContent>
  <xr:revisionPtr revIDLastSave="0" documentId="13_ncr:1_{0F731AE5-EFC8-40CA-86DC-0C7F24867966}" xr6:coauthVersionLast="47" xr6:coauthVersionMax="47" xr10:uidLastSave="{00000000-0000-0000-0000-000000000000}"/>
  <bookViews>
    <workbookView xWindow="-110" yWindow="-110" windowWidth="19420" windowHeight="10300" activeTab="4" xr2:uid="{C245B0C1-70C6-4323-AE11-75CBD1A35497}"/>
  </bookViews>
  <sheets>
    <sheet name="Prices" sheetId="1" r:id="rId1"/>
    <sheet name="Target_Prices" sheetId="2" r:id="rId2"/>
    <sheet name="MSCI_EU" sheetId="3" r:id="rId3"/>
    <sheet name="Master_data" sheetId="5" r:id="rId4"/>
    <sheet name="FIRM CRITERIA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7" l="1"/>
  <c r="H3" i="7"/>
  <c r="H4" i="7"/>
  <c r="H5" i="7"/>
  <c r="H6" i="7"/>
  <c r="H7" i="7"/>
  <c r="H8" i="7"/>
  <c r="H9" i="7"/>
  <c r="H10" i="7"/>
  <c r="H11" i="7"/>
  <c r="H12" i="7"/>
  <c r="H13" i="7"/>
  <c r="G17" i="7"/>
  <c r="G18" i="7"/>
  <c r="G19" i="7"/>
  <c r="G20" i="7"/>
  <c r="G21" i="7"/>
  <c r="G22" i="7"/>
  <c r="G23" i="7"/>
  <c r="G24" i="7"/>
  <c r="G25" i="7"/>
  <c r="G26" i="7"/>
  <c r="G27" i="7"/>
  <c r="G28" i="7"/>
  <c r="E1321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21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10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99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88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77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66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55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44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33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22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11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3" i="5"/>
  <c r="D1213" i="5"/>
  <c r="F1213" i="5" s="1"/>
  <c r="D1214" i="5"/>
  <c r="F1214" i="5" s="1"/>
  <c r="D1215" i="5"/>
  <c r="F1215" i="5" s="1"/>
  <c r="D1216" i="5"/>
  <c r="F1216" i="5" s="1"/>
  <c r="D1217" i="5"/>
  <c r="F1217" i="5" s="1"/>
  <c r="D1218" i="5"/>
  <c r="F1218" i="5" s="1"/>
  <c r="D1219" i="5"/>
  <c r="F1219" i="5" s="1"/>
  <c r="D1220" i="5"/>
  <c r="F1220" i="5" s="1"/>
  <c r="D1221" i="5"/>
  <c r="F1221" i="5" s="1"/>
  <c r="D1222" i="5"/>
  <c r="F1222" i="5" s="1"/>
  <c r="D1223" i="5"/>
  <c r="F1223" i="5" s="1"/>
  <c r="D1224" i="5"/>
  <c r="F1224" i="5" s="1"/>
  <c r="D1225" i="5"/>
  <c r="F1225" i="5" s="1"/>
  <c r="D1226" i="5"/>
  <c r="F1226" i="5" s="1"/>
  <c r="D1227" i="5"/>
  <c r="F1227" i="5" s="1"/>
  <c r="D1228" i="5"/>
  <c r="F1228" i="5" s="1"/>
  <c r="D1229" i="5"/>
  <c r="F1229" i="5" s="1"/>
  <c r="D1230" i="5"/>
  <c r="F1230" i="5" s="1"/>
  <c r="D1231" i="5"/>
  <c r="F1231" i="5" s="1"/>
  <c r="D1232" i="5"/>
  <c r="F1232" i="5" s="1"/>
  <c r="D1233" i="5"/>
  <c r="F1233" i="5" s="1"/>
  <c r="D1234" i="5"/>
  <c r="F1234" i="5" s="1"/>
  <c r="D1235" i="5"/>
  <c r="F1235" i="5" s="1"/>
  <c r="D1236" i="5"/>
  <c r="F1236" i="5" s="1"/>
  <c r="D1237" i="5"/>
  <c r="F1237" i="5" s="1"/>
  <c r="D1238" i="5"/>
  <c r="F1238" i="5" s="1"/>
  <c r="D1239" i="5"/>
  <c r="F1239" i="5" s="1"/>
  <c r="D1240" i="5"/>
  <c r="F1240" i="5" s="1"/>
  <c r="D1241" i="5"/>
  <c r="F1241" i="5" s="1"/>
  <c r="D1242" i="5"/>
  <c r="F1242" i="5" s="1"/>
  <c r="D1243" i="5"/>
  <c r="F1243" i="5" s="1"/>
  <c r="D1244" i="5"/>
  <c r="F1244" i="5" s="1"/>
  <c r="D1245" i="5"/>
  <c r="F1245" i="5" s="1"/>
  <c r="D1246" i="5"/>
  <c r="F1246" i="5" s="1"/>
  <c r="D1247" i="5"/>
  <c r="F1247" i="5" s="1"/>
  <c r="D1248" i="5"/>
  <c r="F1248" i="5" s="1"/>
  <c r="D1249" i="5"/>
  <c r="F1249" i="5" s="1"/>
  <c r="D1250" i="5"/>
  <c r="F1250" i="5" s="1"/>
  <c r="D1251" i="5"/>
  <c r="F1251" i="5" s="1"/>
  <c r="D1252" i="5"/>
  <c r="F1252" i="5" s="1"/>
  <c r="D1253" i="5"/>
  <c r="F1253" i="5" s="1"/>
  <c r="D1254" i="5"/>
  <c r="F1254" i="5" s="1"/>
  <c r="D1255" i="5"/>
  <c r="F1255" i="5" s="1"/>
  <c r="D1256" i="5"/>
  <c r="F1256" i="5" s="1"/>
  <c r="D1257" i="5"/>
  <c r="F1257" i="5" s="1"/>
  <c r="D1258" i="5"/>
  <c r="F1258" i="5" s="1"/>
  <c r="D1259" i="5"/>
  <c r="F1259" i="5" s="1"/>
  <c r="D1260" i="5"/>
  <c r="F1260" i="5" s="1"/>
  <c r="D1261" i="5"/>
  <c r="F1261" i="5" s="1"/>
  <c r="D1262" i="5"/>
  <c r="F1262" i="5" s="1"/>
  <c r="D1263" i="5"/>
  <c r="F1263" i="5" s="1"/>
  <c r="D1264" i="5"/>
  <c r="F1264" i="5" s="1"/>
  <c r="D1265" i="5"/>
  <c r="F1265" i="5" s="1"/>
  <c r="D1266" i="5"/>
  <c r="F1266" i="5" s="1"/>
  <c r="D1267" i="5"/>
  <c r="F1267" i="5" s="1"/>
  <c r="D1268" i="5"/>
  <c r="F1268" i="5" s="1"/>
  <c r="D1269" i="5"/>
  <c r="F1269" i="5" s="1"/>
  <c r="D1270" i="5"/>
  <c r="F1270" i="5" s="1"/>
  <c r="D1271" i="5"/>
  <c r="F1271" i="5" s="1"/>
  <c r="D1272" i="5"/>
  <c r="F1272" i="5" s="1"/>
  <c r="D1273" i="5"/>
  <c r="F1273" i="5" s="1"/>
  <c r="D1274" i="5"/>
  <c r="F1274" i="5" s="1"/>
  <c r="D1275" i="5"/>
  <c r="F1275" i="5" s="1"/>
  <c r="D1276" i="5"/>
  <c r="F1276" i="5" s="1"/>
  <c r="D1277" i="5"/>
  <c r="F1277" i="5" s="1"/>
  <c r="D1278" i="5"/>
  <c r="F1278" i="5" s="1"/>
  <c r="D1279" i="5"/>
  <c r="F1279" i="5" s="1"/>
  <c r="D1280" i="5"/>
  <c r="F1280" i="5" s="1"/>
  <c r="D1281" i="5"/>
  <c r="F1281" i="5" s="1"/>
  <c r="D1282" i="5"/>
  <c r="F1282" i="5" s="1"/>
  <c r="D1283" i="5"/>
  <c r="F1283" i="5" s="1"/>
  <c r="D1284" i="5"/>
  <c r="F1284" i="5" s="1"/>
  <c r="D1285" i="5"/>
  <c r="F1285" i="5" s="1"/>
  <c r="D1286" i="5"/>
  <c r="F1286" i="5" s="1"/>
  <c r="D1287" i="5"/>
  <c r="F1287" i="5" s="1"/>
  <c r="D1288" i="5"/>
  <c r="F1288" i="5" s="1"/>
  <c r="D1289" i="5"/>
  <c r="F1289" i="5" s="1"/>
  <c r="D1290" i="5"/>
  <c r="F1290" i="5" s="1"/>
  <c r="D1291" i="5"/>
  <c r="F1291" i="5" s="1"/>
  <c r="D1292" i="5"/>
  <c r="F1292" i="5" s="1"/>
  <c r="D1293" i="5"/>
  <c r="F1293" i="5" s="1"/>
  <c r="D1294" i="5"/>
  <c r="F1294" i="5" s="1"/>
  <c r="D1295" i="5"/>
  <c r="F1295" i="5" s="1"/>
  <c r="D1296" i="5"/>
  <c r="F1296" i="5" s="1"/>
  <c r="D1297" i="5"/>
  <c r="F1297" i="5" s="1"/>
  <c r="D1298" i="5"/>
  <c r="F1298" i="5" s="1"/>
  <c r="D1299" i="5"/>
  <c r="F1299" i="5" s="1"/>
  <c r="D1300" i="5"/>
  <c r="F1300" i="5" s="1"/>
  <c r="D1301" i="5"/>
  <c r="F1301" i="5" s="1"/>
  <c r="D1302" i="5"/>
  <c r="F1302" i="5" s="1"/>
  <c r="D1303" i="5"/>
  <c r="F1303" i="5" s="1"/>
  <c r="D1304" i="5"/>
  <c r="F1304" i="5" s="1"/>
  <c r="D1305" i="5"/>
  <c r="F1305" i="5" s="1"/>
  <c r="D1306" i="5"/>
  <c r="F1306" i="5" s="1"/>
  <c r="D1307" i="5"/>
  <c r="F1307" i="5" s="1"/>
  <c r="D1308" i="5"/>
  <c r="F1308" i="5" s="1"/>
  <c r="D1309" i="5"/>
  <c r="F1309" i="5" s="1"/>
  <c r="D1310" i="5"/>
  <c r="F1310" i="5" s="1"/>
  <c r="D1311" i="5"/>
  <c r="F1311" i="5" s="1"/>
  <c r="D1312" i="5"/>
  <c r="F1312" i="5" s="1"/>
  <c r="D1313" i="5"/>
  <c r="F1313" i="5" s="1"/>
  <c r="D1314" i="5"/>
  <c r="F1314" i="5" s="1"/>
  <c r="D1315" i="5"/>
  <c r="F1315" i="5" s="1"/>
  <c r="D1316" i="5"/>
  <c r="F1316" i="5" s="1"/>
  <c r="D1317" i="5"/>
  <c r="F1317" i="5" s="1"/>
  <c r="D1318" i="5"/>
  <c r="F1318" i="5" s="1"/>
  <c r="D1319" i="5"/>
  <c r="F1319" i="5" s="1"/>
  <c r="D1320" i="5"/>
  <c r="F1320" i="5" s="1"/>
  <c r="D1321" i="5"/>
  <c r="F1321" i="5" s="1"/>
  <c r="D1212" i="5"/>
  <c r="F1212" i="5" s="1"/>
  <c r="D1103" i="5"/>
  <c r="F1103" i="5" s="1"/>
  <c r="D1104" i="5"/>
  <c r="F1104" i="5" s="1"/>
  <c r="D1105" i="5"/>
  <c r="F1105" i="5" s="1"/>
  <c r="D1106" i="5"/>
  <c r="F1106" i="5" s="1"/>
  <c r="D1107" i="5"/>
  <c r="F1107" i="5" s="1"/>
  <c r="D1108" i="5"/>
  <c r="F1108" i="5" s="1"/>
  <c r="D1109" i="5"/>
  <c r="F1109" i="5" s="1"/>
  <c r="D1110" i="5"/>
  <c r="F1110" i="5" s="1"/>
  <c r="D1111" i="5"/>
  <c r="F1111" i="5" s="1"/>
  <c r="D1112" i="5"/>
  <c r="F1112" i="5" s="1"/>
  <c r="D1113" i="5"/>
  <c r="F1113" i="5" s="1"/>
  <c r="D1114" i="5"/>
  <c r="F1114" i="5" s="1"/>
  <c r="D1115" i="5"/>
  <c r="F1115" i="5" s="1"/>
  <c r="D1116" i="5"/>
  <c r="F1116" i="5" s="1"/>
  <c r="D1117" i="5"/>
  <c r="F1117" i="5" s="1"/>
  <c r="D1118" i="5"/>
  <c r="F1118" i="5" s="1"/>
  <c r="D1119" i="5"/>
  <c r="F1119" i="5" s="1"/>
  <c r="D1120" i="5"/>
  <c r="F1120" i="5" s="1"/>
  <c r="D1121" i="5"/>
  <c r="F1121" i="5" s="1"/>
  <c r="D1122" i="5"/>
  <c r="F1122" i="5" s="1"/>
  <c r="D1123" i="5"/>
  <c r="F1123" i="5" s="1"/>
  <c r="D1124" i="5"/>
  <c r="F1124" i="5" s="1"/>
  <c r="D1125" i="5"/>
  <c r="F1125" i="5" s="1"/>
  <c r="D1126" i="5"/>
  <c r="F1126" i="5" s="1"/>
  <c r="D1127" i="5"/>
  <c r="F1127" i="5" s="1"/>
  <c r="D1128" i="5"/>
  <c r="F1128" i="5" s="1"/>
  <c r="D1129" i="5"/>
  <c r="F1129" i="5" s="1"/>
  <c r="D1130" i="5"/>
  <c r="F1130" i="5" s="1"/>
  <c r="D1131" i="5"/>
  <c r="F1131" i="5" s="1"/>
  <c r="D1132" i="5"/>
  <c r="F1132" i="5" s="1"/>
  <c r="D1133" i="5"/>
  <c r="F1133" i="5" s="1"/>
  <c r="D1134" i="5"/>
  <c r="F1134" i="5" s="1"/>
  <c r="D1135" i="5"/>
  <c r="F1135" i="5" s="1"/>
  <c r="D1136" i="5"/>
  <c r="F1136" i="5" s="1"/>
  <c r="D1137" i="5"/>
  <c r="F1137" i="5" s="1"/>
  <c r="D1138" i="5"/>
  <c r="F1138" i="5" s="1"/>
  <c r="D1139" i="5"/>
  <c r="F1139" i="5" s="1"/>
  <c r="D1140" i="5"/>
  <c r="F1140" i="5" s="1"/>
  <c r="D1141" i="5"/>
  <c r="F1141" i="5" s="1"/>
  <c r="D1142" i="5"/>
  <c r="F1142" i="5" s="1"/>
  <c r="D1143" i="5"/>
  <c r="F1143" i="5" s="1"/>
  <c r="D1144" i="5"/>
  <c r="F1144" i="5" s="1"/>
  <c r="D1145" i="5"/>
  <c r="F1145" i="5" s="1"/>
  <c r="D1146" i="5"/>
  <c r="F1146" i="5" s="1"/>
  <c r="D1147" i="5"/>
  <c r="F1147" i="5" s="1"/>
  <c r="D1148" i="5"/>
  <c r="F1148" i="5" s="1"/>
  <c r="D1149" i="5"/>
  <c r="F1149" i="5" s="1"/>
  <c r="D1150" i="5"/>
  <c r="F1150" i="5" s="1"/>
  <c r="D1151" i="5"/>
  <c r="F1151" i="5" s="1"/>
  <c r="D1152" i="5"/>
  <c r="F1152" i="5" s="1"/>
  <c r="D1153" i="5"/>
  <c r="F1153" i="5" s="1"/>
  <c r="D1154" i="5"/>
  <c r="F1154" i="5" s="1"/>
  <c r="D1155" i="5"/>
  <c r="F1155" i="5" s="1"/>
  <c r="D1156" i="5"/>
  <c r="F1156" i="5" s="1"/>
  <c r="D1157" i="5"/>
  <c r="F1157" i="5" s="1"/>
  <c r="D1158" i="5"/>
  <c r="F1158" i="5" s="1"/>
  <c r="D1159" i="5"/>
  <c r="F1159" i="5" s="1"/>
  <c r="D1160" i="5"/>
  <c r="F1160" i="5" s="1"/>
  <c r="D1161" i="5"/>
  <c r="F1161" i="5" s="1"/>
  <c r="D1162" i="5"/>
  <c r="F1162" i="5" s="1"/>
  <c r="D1163" i="5"/>
  <c r="F1163" i="5" s="1"/>
  <c r="D1164" i="5"/>
  <c r="F1164" i="5" s="1"/>
  <c r="D1165" i="5"/>
  <c r="F1165" i="5" s="1"/>
  <c r="D1166" i="5"/>
  <c r="F1166" i="5" s="1"/>
  <c r="D1167" i="5"/>
  <c r="F1167" i="5" s="1"/>
  <c r="D1168" i="5"/>
  <c r="F1168" i="5" s="1"/>
  <c r="D1169" i="5"/>
  <c r="F1169" i="5" s="1"/>
  <c r="D1170" i="5"/>
  <c r="F1170" i="5" s="1"/>
  <c r="D1171" i="5"/>
  <c r="F1171" i="5" s="1"/>
  <c r="D1172" i="5"/>
  <c r="F1172" i="5" s="1"/>
  <c r="D1173" i="5"/>
  <c r="F1173" i="5" s="1"/>
  <c r="D1174" i="5"/>
  <c r="F1174" i="5" s="1"/>
  <c r="D1175" i="5"/>
  <c r="F1175" i="5" s="1"/>
  <c r="D1176" i="5"/>
  <c r="F1176" i="5" s="1"/>
  <c r="D1177" i="5"/>
  <c r="F1177" i="5" s="1"/>
  <c r="D1178" i="5"/>
  <c r="F1178" i="5" s="1"/>
  <c r="D1179" i="5"/>
  <c r="F1179" i="5" s="1"/>
  <c r="D1180" i="5"/>
  <c r="F1180" i="5" s="1"/>
  <c r="D1181" i="5"/>
  <c r="F1181" i="5" s="1"/>
  <c r="D1182" i="5"/>
  <c r="F1182" i="5" s="1"/>
  <c r="D1183" i="5"/>
  <c r="F1183" i="5" s="1"/>
  <c r="D1184" i="5"/>
  <c r="F1184" i="5" s="1"/>
  <c r="D1185" i="5"/>
  <c r="F1185" i="5" s="1"/>
  <c r="D1186" i="5"/>
  <c r="F1186" i="5" s="1"/>
  <c r="D1187" i="5"/>
  <c r="F1187" i="5" s="1"/>
  <c r="D1188" i="5"/>
  <c r="F1188" i="5" s="1"/>
  <c r="D1189" i="5"/>
  <c r="F1189" i="5" s="1"/>
  <c r="D1190" i="5"/>
  <c r="F1190" i="5" s="1"/>
  <c r="D1191" i="5"/>
  <c r="F1191" i="5" s="1"/>
  <c r="D1192" i="5"/>
  <c r="F1192" i="5" s="1"/>
  <c r="D1193" i="5"/>
  <c r="F1193" i="5" s="1"/>
  <c r="D1194" i="5"/>
  <c r="F1194" i="5" s="1"/>
  <c r="D1195" i="5"/>
  <c r="F1195" i="5" s="1"/>
  <c r="D1196" i="5"/>
  <c r="F1196" i="5" s="1"/>
  <c r="D1197" i="5"/>
  <c r="F1197" i="5" s="1"/>
  <c r="D1198" i="5"/>
  <c r="F1198" i="5" s="1"/>
  <c r="D1199" i="5"/>
  <c r="F1199" i="5" s="1"/>
  <c r="D1200" i="5"/>
  <c r="F1200" i="5" s="1"/>
  <c r="D1201" i="5"/>
  <c r="F1201" i="5" s="1"/>
  <c r="D1202" i="5"/>
  <c r="F1202" i="5" s="1"/>
  <c r="D1203" i="5"/>
  <c r="F1203" i="5" s="1"/>
  <c r="D1204" i="5"/>
  <c r="F1204" i="5" s="1"/>
  <c r="D1205" i="5"/>
  <c r="F1205" i="5" s="1"/>
  <c r="D1206" i="5"/>
  <c r="F1206" i="5" s="1"/>
  <c r="D1207" i="5"/>
  <c r="F1207" i="5" s="1"/>
  <c r="D1208" i="5"/>
  <c r="F1208" i="5" s="1"/>
  <c r="D1209" i="5"/>
  <c r="F1209" i="5" s="1"/>
  <c r="D1210" i="5"/>
  <c r="F1210" i="5" s="1"/>
  <c r="D1211" i="5"/>
  <c r="F1211" i="5" s="1"/>
  <c r="D1102" i="5"/>
  <c r="F1102" i="5" s="1"/>
  <c r="D993" i="5"/>
  <c r="F993" i="5" s="1"/>
  <c r="D994" i="5"/>
  <c r="F994" i="5" s="1"/>
  <c r="D995" i="5"/>
  <c r="F995" i="5" s="1"/>
  <c r="D996" i="5"/>
  <c r="F996" i="5" s="1"/>
  <c r="D997" i="5"/>
  <c r="F997" i="5" s="1"/>
  <c r="D998" i="5"/>
  <c r="F998" i="5" s="1"/>
  <c r="D999" i="5"/>
  <c r="F999" i="5" s="1"/>
  <c r="D1000" i="5"/>
  <c r="F1000" i="5" s="1"/>
  <c r="D1001" i="5"/>
  <c r="F1001" i="5" s="1"/>
  <c r="D1002" i="5"/>
  <c r="F1002" i="5" s="1"/>
  <c r="D1003" i="5"/>
  <c r="F1003" i="5" s="1"/>
  <c r="D1004" i="5"/>
  <c r="F1004" i="5" s="1"/>
  <c r="D1005" i="5"/>
  <c r="F1005" i="5" s="1"/>
  <c r="D1006" i="5"/>
  <c r="F1006" i="5" s="1"/>
  <c r="D1007" i="5"/>
  <c r="F1007" i="5" s="1"/>
  <c r="D1008" i="5"/>
  <c r="F1008" i="5" s="1"/>
  <c r="D1009" i="5"/>
  <c r="F1009" i="5" s="1"/>
  <c r="D1010" i="5"/>
  <c r="F1010" i="5" s="1"/>
  <c r="D1011" i="5"/>
  <c r="F1011" i="5" s="1"/>
  <c r="D1012" i="5"/>
  <c r="F1012" i="5" s="1"/>
  <c r="D1013" i="5"/>
  <c r="F1013" i="5" s="1"/>
  <c r="D1014" i="5"/>
  <c r="F1014" i="5" s="1"/>
  <c r="D1015" i="5"/>
  <c r="F1015" i="5" s="1"/>
  <c r="D1016" i="5"/>
  <c r="F1016" i="5" s="1"/>
  <c r="D1017" i="5"/>
  <c r="F1017" i="5" s="1"/>
  <c r="D1018" i="5"/>
  <c r="F1018" i="5" s="1"/>
  <c r="D1019" i="5"/>
  <c r="F1019" i="5" s="1"/>
  <c r="D1020" i="5"/>
  <c r="F1020" i="5" s="1"/>
  <c r="D1021" i="5"/>
  <c r="F1021" i="5" s="1"/>
  <c r="D1022" i="5"/>
  <c r="F1022" i="5" s="1"/>
  <c r="D1023" i="5"/>
  <c r="F1023" i="5" s="1"/>
  <c r="D1024" i="5"/>
  <c r="F1024" i="5" s="1"/>
  <c r="D1025" i="5"/>
  <c r="F1025" i="5" s="1"/>
  <c r="D1026" i="5"/>
  <c r="F1026" i="5" s="1"/>
  <c r="D1027" i="5"/>
  <c r="F1027" i="5" s="1"/>
  <c r="D1028" i="5"/>
  <c r="F1028" i="5" s="1"/>
  <c r="D1029" i="5"/>
  <c r="F1029" i="5" s="1"/>
  <c r="D1030" i="5"/>
  <c r="F1030" i="5" s="1"/>
  <c r="D1031" i="5"/>
  <c r="F1031" i="5" s="1"/>
  <c r="D1032" i="5"/>
  <c r="F1032" i="5" s="1"/>
  <c r="D1033" i="5"/>
  <c r="F1033" i="5" s="1"/>
  <c r="D1034" i="5"/>
  <c r="F1034" i="5" s="1"/>
  <c r="D1035" i="5"/>
  <c r="F1035" i="5" s="1"/>
  <c r="D1036" i="5"/>
  <c r="F1036" i="5" s="1"/>
  <c r="D1037" i="5"/>
  <c r="F1037" i="5" s="1"/>
  <c r="D1038" i="5"/>
  <c r="F1038" i="5" s="1"/>
  <c r="D1039" i="5"/>
  <c r="F1039" i="5" s="1"/>
  <c r="D1040" i="5"/>
  <c r="F1040" i="5" s="1"/>
  <c r="D1041" i="5"/>
  <c r="F1041" i="5" s="1"/>
  <c r="D1042" i="5"/>
  <c r="F1042" i="5" s="1"/>
  <c r="D1043" i="5"/>
  <c r="F1043" i="5" s="1"/>
  <c r="D1044" i="5"/>
  <c r="F1044" i="5" s="1"/>
  <c r="D1045" i="5"/>
  <c r="F1045" i="5" s="1"/>
  <c r="D1046" i="5"/>
  <c r="F1046" i="5" s="1"/>
  <c r="D1047" i="5"/>
  <c r="F1047" i="5" s="1"/>
  <c r="D1048" i="5"/>
  <c r="F1048" i="5" s="1"/>
  <c r="D1049" i="5"/>
  <c r="F1049" i="5" s="1"/>
  <c r="D1050" i="5"/>
  <c r="F1050" i="5" s="1"/>
  <c r="D1051" i="5"/>
  <c r="F1051" i="5" s="1"/>
  <c r="D1052" i="5"/>
  <c r="F1052" i="5" s="1"/>
  <c r="D1053" i="5"/>
  <c r="F1053" i="5" s="1"/>
  <c r="D1054" i="5"/>
  <c r="F1054" i="5" s="1"/>
  <c r="D1055" i="5"/>
  <c r="F1055" i="5" s="1"/>
  <c r="D1056" i="5"/>
  <c r="F1056" i="5" s="1"/>
  <c r="D1057" i="5"/>
  <c r="F1057" i="5" s="1"/>
  <c r="D1058" i="5"/>
  <c r="F1058" i="5" s="1"/>
  <c r="D1059" i="5"/>
  <c r="F1059" i="5" s="1"/>
  <c r="D1060" i="5"/>
  <c r="F1060" i="5" s="1"/>
  <c r="D1061" i="5"/>
  <c r="F1061" i="5" s="1"/>
  <c r="D1062" i="5"/>
  <c r="F1062" i="5" s="1"/>
  <c r="D1063" i="5"/>
  <c r="F1063" i="5" s="1"/>
  <c r="D1064" i="5"/>
  <c r="F1064" i="5" s="1"/>
  <c r="D1065" i="5"/>
  <c r="F1065" i="5" s="1"/>
  <c r="D1066" i="5"/>
  <c r="F1066" i="5" s="1"/>
  <c r="D1067" i="5"/>
  <c r="F1067" i="5" s="1"/>
  <c r="D1068" i="5"/>
  <c r="F1068" i="5" s="1"/>
  <c r="D1069" i="5"/>
  <c r="F1069" i="5" s="1"/>
  <c r="D1070" i="5"/>
  <c r="F1070" i="5" s="1"/>
  <c r="D1071" i="5"/>
  <c r="F1071" i="5" s="1"/>
  <c r="D1072" i="5"/>
  <c r="F1072" i="5" s="1"/>
  <c r="D1073" i="5"/>
  <c r="F1073" i="5" s="1"/>
  <c r="D1074" i="5"/>
  <c r="F1074" i="5" s="1"/>
  <c r="D1075" i="5"/>
  <c r="F1075" i="5" s="1"/>
  <c r="D1076" i="5"/>
  <c r="F1076" i="5" s="1"/>
  <c r="D1077" i="5"/>
  <c r="F1077" i="5" s="1"/>
  <c r="D1078" i="5"/>
  <c r="F1078" i="5" s="1"/>
  <c r="D1079" i="5"/>
  <c r="F1079" i="5" s="1"/>
  <c r="D1080" i="5"/>
  <c r="F1080" i="5" s="1"/>
  <c r="D1081" i="5"/>
  <c r="F1081" i="5" s="1"/>
  <c r="D1082" i="5"/>
  <c r="F1082" i="5" s="1"/>
  <c r="D1083" i="5"/>
  <c r="F1083" i="5" s="1"/>
  <c r="D1084" i="5"/>
  <c r="F1084" i="5" s="1"/>
  <c r="D1085" i="5"/>
  <c r="F1085" i="5" s="1"/>
  <c r="D1086" i="5"/>
  <c r="F1086" i="5" s="1"/>
  <c r="D1087" i="5"/>
  <c r="F1087" i="5" s="1"/>
  <c r="D1088" i="5"/>
  <c r="F1088" i="5" s="1"/>
  <c r="D1089" i="5"/>
  <c r="F1089" i="5" s="1"/>
  <c r="D1090" i="5"/>
  <c r="F1090" i="5" s="1"/>
  <c r="D1091" i="5"/>
  <c r="F1091" i="5" s="1"/>
  <c r="D1092" i="5"/>
  <c r="F1092" i="5" s="1"/>
  <c r="D1093" i="5"/>
  <c r="F1093" i="5" s="1"/>
  <c r="D1094" i="5"/>
  <c r="F1094" i="5" s="1"/>
  <c r="D1095" i="5"/>
  <c r="F1095" i="5" s="1"/>
  <c r="D1096" i="5"/>
  <c r="F1096" i="5" s="1"/>
  <c r="D1097" i="5"/>
  <c r="F1097" i="5" s="1"/>
  <c r="D1098" i="5"/>
  <c r="F1098" i="5" s="1"/>
  <c r="D1099" i="5"/>
  <c r="F1099" i="5" s="1"/>
  <c r="D1100" i="5"/>
  <c r="F1100" i="5" s="1"/>
  <c r="D1101" i="5"/>
  <c r="F1101" i="5" s="1"/>
  <c r="D992" i="5"/>
  <c r="F992" i="5" s="1"/>
  <c r="D883" i="5"/>
  <c r="F883" i="5" s="1"/>
  <c r="D884" i="5"/>
  <c r="F884" i="5" s="1"/>
  <c r="D885" i="5"/>
  <c r="F885" i="5" s="1"/>
  <c r="D886" i="5"/>
  <c r="F886" i="5" s="1"/>
  <c r="D887" i="5"/>
  <c r="F887" i="5" s="1"/>
  <c r="D888" i="5"/>
  <c r="F888" i="5" s="1"/>
  <c r="D889" i="5"/>
  <c r="F889" i="5" s="1"/>
  <c r="D890" i="5"/>
  <c r="F890" i="5" s="1"/>
  <c r="D891" i="5"/>
  <c r="F891" i="5" s="1"/>
  <c r="D892" i="5"/>
  <c r="F892" i="5" s="1"/>
  <c r="D893" i="5"/>
  <c r="F893" i="5" s="1"/>
  <c r="D894" i="5"/>
  <c r="F894" i="5" s="1"/>
  <c r="D895" i="5"/>
  <c r="F895" i="5" s="1"/>
  <c r="D896" i="5"/>
  <c r="F896" i="5" s="1"/>
  <c r="D897" i="5"/>
  <c r="F897" i="5" s="1"/>
  <c r="D898" i="5"/>
  <c r="F898" i="5" s="1"/>
  <c r="D899" i="5"/>
  <c r="F899" i="5" s="1"/>
  <c r="D900" i="5"/>
  <c r="F900" i="5" s="1"/>
  <c r="D901" i="5"/>
  <c r="F901" i="5" s="1"/>
  <c r="D902" i="5"/>
  <c r="F902" i="5" s="1"/>
  <c r="D903" i="5"/>
  <c r="F903" i="5" s="1"/>
  <c r="D904" i="5"/>
  <c r="F904" i="5" s="1"/>
  <c r="D905" i="5"/>
  <c r="F905" i="5" s="1"/>
  <c r="D906" i="5"/>
  <c r="F906" i="5" s="1"/>
  <c r="D907" i="5"/>
  <c r="F907" i="5" s="1"/>
  <c r="D908" i="5"/>
  <c r="F908" i="5" s="1"/>
  <c r="D909" i="5"/>
  <c r="F909" i="5" s="1"/>
  <c r="D910" i="5"/>
  <c r="F910" i="5" s="1"/>
  <c r="D911" i="5"/>
  <c r="F911" i="5" s="1"/>
  <c r="D912" i="5"/>
  <c r="F912" i="5" s="1"/>
  <c r="D913" i="5"/>
  <c r="F913" i="5" s="1"/>
  <c r="D914" i="5"/>
  <c r="F914" i="5" s="1"/>
  <c r="D915" i="5"/>
  <c r="F915" i="5" s="1"/>
  <c r="D916" i="5"/>
  <c r="F916" i="5" s="1"/>
  <c r="D917" i="5"/>
  <c r="F917" i="5" s="1"/>
  <c r="D918" i="5"/>
  <c r="F918" i="5" s="1"/>
  <c r="D919" i="5"/>
  <c r="F919" i="5" s="1"/>
  <c r="D920" i="5"/>
  <c r="F920" i="5" s="1"/>
  <c r="D921" i="5"/>
  <c r="F921" i="5" s="1"/>
  <c r="D922" i="5"/>
  <c r="F922" i="5" s="1"/>
  <c r="D923" i="5"/>
  <c r="F923" i="5" s="1"/>
  <c r="D924" i="5"/>
  <c r="F924" i="5" s="1"/>
  <c r="D925" i="5"/>
  <c r="F925" i="5" s="1"/>
  <c r="D926" i="5"/>
  <c r="F926" i="5" s="1"/>
  <c r="D927" i="5"/>
  <c r="F927" i="5" s="1"/>
  <c r="D928" i="5"/>
  <c r="F928" i="5" s="1"/>
  <c r="D929" i="5"/>
  <c r="F929" i="5" s="1"/>
  <c r="D930" i="5"/>
  <c r="F930" i="5" s="1"/>
  <c r="D931" i="5"/>
  <c r="F931" i="5" s="1"/>
  <c r="D932" i="5"/>
  <c r="F932" i="5" s="1"/>
  <c r="D933" i="5"/>
  <c r="F933" i="5" s="1"/>
  <c r="D934" i="5"/>
  <c r="F934" i="5" s="1"/>
  <c r="D935" i="5"/>
  <c r="F935" i="5" s="1"/>
  <c r="D936" i="5"/>
  <c r="F936" i="5" s="1"/>
  <c r="D937" i="5"/>
  <c r="F937" i="5" s="1"/>
  <c r="D938" i="5"/>
  <c r="F938" i="5" s="1"/>
  <c r="D939" i="5"/>
  <c r="F939" i="5" s="1"/>
  <c r="D940" i="5"/>
  <c r="F940" i="5" s="1"/>
  <c r="D941" i="5"/>
  <c r="F941" i="5" s="1"/>
  <c r="D942" i="5"/>
  <c r="F942" i="5" s="1"/>
  <c r="D943" i="5"/>
  <c r="F943" i="5" s="1"/>
  <c r="D944" i="5"/>
  <c r="F944" i="5" s="1"/>
  <c r="D945" i="5"/>
  <c r="F945" i="5" s="1"/>
  <c r="D946" i="5"/>
  <c r="F946" i="5" s="1"/>
  <c r="D947" i="5"/>
  <c r="F947" i="5" s="1"/>
  <c r="D948" i="5"/>
  <c r="F948" i="5" s="1"/>
  <c r="D949" i="5"/>
  <c r="F949" i="5" s="1"/>
  <c r="D950" i="5"/>
  <c r="F950" i="5" s="1"/>
  <c r="D951" i="5"/>
  <c r="F951" i="5" s="1"/>
  <c r="D952" i="5"/>
  <c r="F952" i="5" s="1"/>
  <c r="D953" i="5"/>
  <c r="F953" i="5" s="1"/>
  <c r="D954" i="5"/>
  <c r="F954" i="5" s="1"/>
  <c r="D955" i="5"/>
  <c r="F955" i="5" s="1"/>
  <c r="D956" i="5"/>
  <c r="F956" i="5" s="1"/>
  <c r="D957" i="5"/>
  <c r="F957" i="5" s="1"/>
  <c r="D958" i="5"/>
  <c r="F958" i="5" s="1"/>
  <c r="D959" i="5"/>
  <c r="F959" i="5" s="1"/>
  <c r="D960" i="5"/>
  <c r="F960" i="5" s="1"/>
  <c r="D961" i="5"/>
  <c r="F961" i="5" s="1"/>
  <c r="D962" i="5"/>
  <c r="F962" i="5" s="1"/>
  <c r="D963" i="5"/>
  <c r="F963" i="5" s="1"/>
  <c r="D964" i="5"/>
  <c r="F964" i="5" s="1"/>
  <c r="D965" i="5"/>
  <c r="F965" i="5" s="1"/>
  <c r="D966" i="5"/>
  <c r="F966" i="5" s="1"/>
  <c r="D967" i="5"/>
  <c r="F967" i="5" s="1"/>
  <c r="D968" i="5"/>
  <c r="F968" i="5" s="1"/>
  <c r="D969" i="5"/>
  <c r="F969" i="5" s="1"/>
  <c r="D970" i="5"/>
  <c r="F970" i="5" s="1"/>
  <c r="D971" i="5"/>
  <c r="F971" i="5" s="1"/>
  <c r="D972" i="5"/>
  <c r="F972" i="5" s="1"/>
  <c r="D973" i="5"/>
  <c r="F973" i="5" s="1"/>
  <c r="D974" i="5"/>
  <c r="F974" i="5" s="1"/>
  <c r="D975" i="5"/>
  <c r="F975" i="5" s="1"/>
  <c r="D976" i="5"/>
  <c r="F976" i="5" s="1"/>
  <c r="D977" i="5"/>
  <c r="F977" i="5" s="1"/>
  <c r="D978" i="5"/>
  <c r="F978" i="5" s="1"/>
  <c r="D979" i="5"/>
  <c r="F979" i="5" s="1"/>
  <c r="D980" i="5"/>
  <c r="F980" i="5" s="1"/>
  <c r="D981" i="5"/>
  <c r="F981" i="5" s="1"/>
  <c r="D982" i="5"/>
  <c r="F982" i="5" s="1"/>
  <c r="D983" i="5"/>
  <c r="F983" i="5" s="1"/>
  <c r="D984" i="5"/>
  <c r="F984" i="5" s="1"/>
  <c r="D985" i="5"/>
  <c r="F985" i="5" s="1"/>
  <c r="D986" i="5"/>
  <c r="F986" i="5" s="1"/>
  <c r="D987" i="5"/>
  <c r="F987" i="5" s="1"/>
  <c r="D988" i="5"/>
  <c r="F988" i="5" s="1"/>
  <c r="D989" i="5"/>
  <c r="F989" i="5" s="1"/>
  <c r="D990" i="5"/>
  <c r="F990" i="5" s="1"/>
  <c r="D991" i="5"/>
  <c r="F991" i="5" s="1"/>
  <c r="D882" i="5"/>
  <c r="F882" i="5" s="1"/>
  <c r="D773" i="5"/>
  <c r="F773" i="5" s="1"/>
  <c r="D774" i="5"/>
  <c r="F774" i="5" s="1"/>
  <c r="D775" i="5"/>
  <c r="F775" i="5" s="1"/>
  <c r="D776" i="5"/>
  <c r="F776" i="5" s="1"/>
  <c r="D777" i="5"/>
  <c r="F777" i="5" s="1"/>
  <c r="D778" i="5"/>
  <c r="F778" i="5" s="1"/>
  <c r="D779" i="5"/>
  <c r="F779" i="5" s="1"/>
  <c r="D780" i="5"/>
  <c r="F780" i="5" s="1"/>
  <c r="D781" i="5"/>
  <c r="F781" i="5" s="1"/>
  <c r="D782" i="5"/>
  <c r="F782" i="5" s="1"/>
  <c r="D783" i="5"/>
  <c r="F783" i="5" s="1"/>
  <c r="D784" i="5"/>
  <c r="F784" i="5" s="1"/>
  <c r="D785" i="5"/>
  <c r="F785" i="5" s="1"/>
  <c r="D786" i="5"/>
  <c r="F786" i="5" s="1"/>
  <c r="D787" i="5"/>
  <c r="F787" i="5" s="1"/>
  <c r="D788" i="5"/>
  <c r="F788" i="5" s="1"/>
  <c r="D789" i="5"/>
  <c r="F789" i="5" s="1"/>
  <c r="D790" i="5"/>
  <c r="F790" i="5" s="1"/>
  <c r="D791" i="5"/>
  <c r="F791" i="5" s="1"/>
  <c r="D792" i="5"/>
  <c r="F792" i="5" s="1"/>
  <c r="D793" i="5"/>
  <c r="F793" i="5" s="1"/>
  <c r="D794" i="5"/>
  <c r="F794" i="5" s="1"/>
  <c r="D795" i="5"/>
  <c r="F795" i="5" s="1"/>
  <c r="D796" i="5"/>
  <c r="F796" i="5" s="1"/>
  <c r="D797" i="5"/>
  <c r="F797" i="5" s="1"/>
  <c r="D798" i="5"/>
  <c r="F798" i="5" s="1"/>
  <c r="D799" i="5"/>
  <c r="F799" i="5" s="1"/>
  <c r="D800" i="5"/>
  <c r="F800" i="5" s="1"/>
  <c r="D801" i="5"/>
  <c r="F801" i="5" s="1"/>
  <c r="D802" i="5"/>
  <c r="F802" i="5" s="1"/>
  <c r="D803" i="5"/>
  <c r="F803" i="5" s="1"/>
  <c r="D804" i="5"/>
  <c r="F804" i="5" s="1"/>
  <c r="D805" i="5"/>
  <c r="F805" i="5" s="1"/>
  <c r="D806" i="5"/>
  <c r="F806" i="5" s="1"/>
  <c r="D807" i="5"/>
  <c r="F807" i="5" s="1"/>
  <c r="D808" i="5"/>
  <c r="F808" i="5" s="1"/>
  <c r="D809" i="5"/>
  <c r="F809" i="5" s="1"/>
  <c r="D810" i="5"/>
  <c r="F810" i="5" s="1"/>
  <c r="D811" i="5"/>
  <c r="F811" i="5" s="1"/>
  <c r="D812" i="5"/>
  <c r="F812" i="5" s="1"/>
  <c r="D813" i="5"/>
  <c r="F813" i="5" s="1"/>
  <c r="D814" i="5"/>
  <c r="F814" i="5" s="1"/>
  <c r="D815" i="5"/>
  <c r="F815" i="5" s="1"/>
  <c r="D816" i="5"/>
  <c r="F816" i="5" s="1"/>
  <c r="D817" i="5"/>
  <c r="F817" i="5" s="1"/>
  <c r="D818" i="5"/>
  <c r="F818" i="5" s="1"/>
  <c r="D819" i="5"/>
  <c r="F819" i="5" s="1"/>
  <c r="D820" i="5"/>
  <c r="F820" i="5" s="1"/>
  <c r="D821" i="5"/>
  <c r="F821" i="5" s="1"/>
  <c r="D822" i="5"/>
  <c r="F822" i="5" s="1"/>
  <c r="D823" i="5"/>
  <c r="F823" i="5" s="1"/>
  <c r="D824" i="5"/>
  <c r="F824" i="5" s="1"/>
  <c r="D825" i="5"/>
  <c r="F825" i="5" s="1"/>
  <c r="D826" i="5"/>
  <c r="F826" i="5" s="1"/>
  <c r="D827" i="5"/>
  <c r="F827" i="5" s="1"/>
  <c r="D828" i="5"/>
  <c r="F828" i="5" s="1"/>
  <c r="D829" i="5"/>
  <c r="F829" i="5" s="1"/>
  <c r="D830" i="5"/>
  <c r="F830" i="5" s="1"/>
  <c r="D831" i="5"/>
  <c r="F831" i="5" s="1"/>
  <c r="D832" i="5"/>
  <c r="F832" i="5" s="1"/>
  <c r="D833" i="5"/>
  <c r="F833" i="5" s="1"/>
  <c r="D834" i="5"/>
  <c r="F834" i="5" s="1"/>
  <c r="D835" i="5"/>
  <c r="F835" i="5" s="1"/>
  <c r="D836" i="5"/>
  <c r="F836" i="5" s="1"/>
  <c r="D837" i="5"/>
  <c r="F837" i="5" s="1"/>
  <c r="D838" i="5"/>
  <c r="F838" i="5" s="1"/>
  <c r="D839" i="5"/>
  <c r="F839" i="5" s="1"/>
  <c r="D840" i="5"/>
  <c r="F840" i="5" s="1"/>
  <c r="D841" i="5"/>
  <c r="F841" i="5" s="1"/>
  <c r="D842" i="5"/>
  <c r="F842" i="5" s="1"/>
  <c r="D843" i="5"/>
  <c r="F843" i="5" s="1"/>
  <c r="D844" i="5"/>
  <c r="F844" i="5" s="1"/>
  <c r="D845" i="5"/>
  <c r="F845" i="5" s="1"/>
  <c r="D846" i="5"/>
  <c r="F846" i="5" s="1"/>
  <c r="D847" i="5"/>
  <c r="F847" i="5" s="1"/>
  <c r="D848" i="5"/>
  <c r="F848" i="5" s="1"/>
  <c r="D849" i="5"/>
  <c r="F849" i="5" s="1"/>
  <c r="D850" i="5"/>
  <c r="F850" i="5" s="1"/>
  <c r="D851" i="5"/>
  <c r="F851" i="5" s="1"/>
  <c r="D852" i="5"/>
  <c r="F852" i="5" s="1"/>
  <c r="D853" i="5"/>
  <c r="F853" i="5" s="1"/>
  <c r="D854" i="5"/>
  <c r="F854" i="5" s="1"/>
  <c r="D855" i="5"/>
  <c r="F855" i="5" s="1"/>
  <c r="D856" i="5"/>
  <c r="F856" i="5" s="1"/>
  <c r="D857" i="5"/>
  <c r="F857" i="5" s="1"/>
  <c r="D858" i="5"/>
  <c r="F858" i="5" s="1"/>
  <c r="D859" i="5"/>
  <c r="F859" i="5" s="1"/>
  <c r="D860" i="5"/>
  <c r="F860" i="5" s="1"/>
  <c r="D861" i="5"/>
  <c r="F861" i="5" s="1"/>
  <c r="D862" i="5"/>
  <c r="F862" i="5" s="1"/>
  <c r="D863" i="5"/>
  <c r="F863" i="5" s="1"/>
  <c r="D864" i="5"/>
  <c r="F864" i="5" s="1"/>
  <c r="D865" i="5"/>
  <c r="F865" i="5" s="1"/>
  <c r="D866" i="5"/>
  <c r="F866" i="5" s="1"/>
  <c r="D867" i="5"/>
  <c r="F867" i="5" s="1"/>
  <c r="D868" i="5"/>
  <c r="F868" i="5" s="1"/>
  <c r="D869" i="5"/>
  <c r="F869" i="5" s="1"/>
  <c r="D870" i="5"/>
  <c r="F870" i="5" s="1"/>
  <c r="D871" i="5"/>
  <c r="F871" i="5" s="1"/>
  <c r="D872" i="5"/>
  <c r="F872" i="5" s="1"/>
  <c r="D873" i="5"/>
  <c r="F873" i="5" s="1"/>
  <c r="D874" i="5"/>
  <c r="F874" i="5" s="1"/>
  <c r="D875" i="5"/>
  <c r="F875" i="5" s="1"/>
  <c r="D876" i="5"/>
  <c r="F876" i="5" s="1"/>
  <c r="D877" i="5"/>
  <c r="F877" i="5" s="1"/>
  <c r="D878" i="5"/>
  <c r="F878" i="5" s="1"/>
  <c r="D879" i="5"/>
  <c r="F879" i="5" s="1"/>
  <c r="D880" i="5"/>
  <c r="F880" i="5" s="1"/>
  <c r="D881" i="5"/>
  <c r="F881" i="5" s="1"/>
  <c r="D772" i="5"/>
  <c r="F772" i="5" s="1"/>
  <c r="D663" i="5"/>
  <c r="F663" i="5" s="1"/>
  <c r="D664" i="5"/>
  <c r="F664" i="5" s="1"/>
  <c r="D665" i="5"/>
  <c r="F665" i="5" s="1"/>
  <c r="D666" i="5"/>
  <c r="F666" i="5" s="1"/>
  <c r="D667" i="5"/>
  <c r="F667" i="5" s="1"/>
  <c r="D668" i="5"/>
  <c r="F668" i="5" s="1"/>
  <c r="D669" i="5"/>
  <c r="F669" i="5" s="1"/>
  <c r="D670" i="5"/>
  <c r="F670" i="5" s="1"/>
  <c r="D671" i="5"/>
  <c r="F671" i="5" s="1"/>
  <c r="D672" i="5"/>
  <c r="F672" i="5" s="1"/>
  <c r="D673" i="5"/>
  <c r="F673" i="5" s="1"/>
  <c r="D674" i="5"/>
  <c r="F674" i="5" s="1"/>
  <c r="D675" i="5"/>
  <c r="F675" i="5" s="1"/>
  <c r="D676" i="5"/>
  <c r="F676" i="5" s="1"/>
  <c r="D677" i="5"/>
  <c r="F677" i="5" s="1"/>
  <c r="D678" i="5"/>
  <c r="F678" i="5" s="1"/>
  <c r="D679" i="5"/>
  <c r="F679" i="5" s="1"/>
  <c r="D680" i="5"/>
  <c r="F680" i="5" s="1"/>
  <c r="D681" i="5"/>
  <c r="F681" i="5" s="1"/>
  <c r="D682" i="5"/>
  <c r="F682" i="5" s="1"/>
  <c r="D683" i="5"/>
  <c r="F683" i="5" s="1"/>
  <c r="D684" i="5"/>
  <c r="F684" i="5" s="1"/>
  <c r="D685" i="5"/>
  <c r="F685" i="5" s="1"/>
  <c r="D686" i="5"/>
  <c r="F686" i="5" s="1"/>
  <c r="D687" i="5"/>
  <c r="F687" i="5" s="1"/>
  <c r="D688" i="5"/>
  <c r="F688" i="5" s="1"/>
  <c r="D689" i="5"/>
  <c r="F689" i="5" s="1"/>
  <c r="D690" i="5"/>
  <c r="F690" i="5" s="1"/>
  <c r="D691" i="5"/>
  <c r="F691" i="5" s="1"/>
  <c r="D692" i="5"/>
  <c r="F692" i="5" s="1"/>
  <c r="D693" i="5"/>
  <c r="F693" i="5" s="1"/>
  <c r="D694" i="5"/>
  <c r="F694" i="5" s="1"/>
  <c r="D695" i="5"/>
  <c r="F695" i="5" s="1"/>
  <c r="D696" i="5"/>
  <c r="F696" i="5" s="1"/>
  <c r="D697" i="5"/>
  <c r="F697" i="5" s="1"/>
  <c r="D698" i="5"/>
  <c r="F698" i="5" s="1"/>
  <c r="D699" i="5"/>
  <c r="F699" i="5" s="1"/>
  <c r="D700" i="5"/>
  <c r="F700" i="5" s="1"/>
  <c r="D701" i="5"/>
  <c r="F701" i="5" s="1"/>
  <c r="D702" i="5"/>
  <c r="F702" i="5" s="1"/>
  <c r="D703" i="5"/>
  <c r="F703" i="5" s="1"/>
  <c r="D704" i="5"/>
  <c r="F704" i="5" s="1"/>
  <c r="D705" i="5"/>
  <c r="F705" i="5" s="1"/>
  <c r="D706" i="5"/>
  <c r="F706" i="5" s="1"/>
  <c r="D707" i="5"/>
  <c r="F707" i="5" s="1"/>
  <c r="D708" i="5"/>
  <c r="F708" i="5" s="1"/>
  <c r="D709" i="5"/>
  <c r="F709" i="5" s="1"/>
  <c r="D710" i="5"/>
  <c r="F710" i="5" s="1"/>
  <c r="D711" i="5"/>
  <c r="F711" i="5" s="1"/>
  <c r="D712" i="5"/>
  <c r="F712" i="5" s="1"/>
  <c r="D713" i="5"/>
  <c r="F713" i="5" s="1"/>
  <c r="D714" i="5"/>
  <c r="F714" i="5" s="1"/>
  <c r="D715" i="5"/>
  <c r="F715" i="5" s="1"/>
  <c r="D716" i="5"/>
  <c r="F716" i="5" s="1"/>
  <c r="D717" i="5"/>
  <c r="F717" i="5" s="1"/>
  <c r="D718" i="5"/>
  <c r="F718" i="5" s="1"/>
  <c r="D719" i="5"/>
  <c r="F719" i="5" s="1"/>
  <c r="D720" i="5"/>
  <c r="F720" i="5" s="1"/>
  <c r="D721" i="5"/>
  <c r="F721" i="5" s="1"/>
  <c r="D722" i="5"/>
  <c r="F722" i="5" s="1"/>
  <c r="D723" i="5"/>
  <c r="F723" i="5" s="1"/>
  <c r="D724" i="5"/>
  <c r="F724" i="5" s="1"/>
  <c r="D725" i="5"/>
  <c r="F725" i="5" s="1"/>
  <c r="D726" i="5"/>
  <c r="F726" i="5" s="1"/>
  <c r="D727" i="5"/>
  <c r="F727" i="5" s="1"/>
  <c r="D728" i="5"/>
  <c r="F728" i="5" s="1"/>
  <c r="D729" i="5"/>
  <c r="F729" i="5" s="1"/>
  <c r="D730" i="5"/>
  <c r="F730" i="5" s="1"/>
  <c r="D731" i="5"/>
  <c r="F731" i="5" s="1"/>
  <c r="D732" i="5"/>
  <c r="F732" i="5" s="1"/>
  <c r="D733" i="5"/>
  <c r="F733" i="5" s="1"/>
  <c r="D734" i="5"/>
  <c r="F734" i="5" s="1"/>
  <c r="D735" i="5"/>
  <c r="F735" i="5" s="1"/>
  <c r="D736" i="5"/>
  <c r="F736" i="5" s="1"/>
  <c r="D737" i="5"/>
  <c r="F737" i="5" s="1"/>
  <c r="D738" i="5"/>
  <c r="F738" i="5" s="1"/>
  <c r="D739" i="5"/>
  <c r="F739" i="5" s="1"/>
  <c r="D740" i="5"/>
  <c r="F740" i="5" s="1"/>
  <c r="D741" i="5"/>
  <c r="F741" i="5" s="1"/>
  <c r="D742" i="5"/>
  <c r="F742" i="5" s="1"/>
  <c r="D743" i="5"/>
  <c r="F743" i="5" s="1"/>
  <c r="D744" i="5"/>
  <c r="F744" i="5" s="1"/>
  <c r="D745" i="5"/>
  <c r="F745" i="5" s="1"/>
  <c r="D746" i="5"/>
  <c r="F746" i="5" s="1"/>
  <c r="D747" i="5"/>
  <c r="F747" i="5" s="1"/>
  <c r="D748" i="5"/>
  <c r="F748" i="5" s="1"/>
  <c r="D749" i="5"/>
  <c r="F749" i="5" s="1"/>
  <c r="D750" i="5"/>
  <c r="F750" i="5" s="1"/>
  <c r="D751" i="5"/>
  <c r="F751" i="5" s="1"/>
  <c r="D752" i="5"/>
  <c r="F752" i="5" s="1"/>
  <c r="D753" i="5"/>
  <c r="F753" i="5" s="1"/>
  <c r="D754" i="5"/>
  <c r="F754" i="5" s="1"/>
  <c r="D755" i="5"/>
  <c r="F755" i="5" s="1"/>
  <c r="D756" i="5"/>
  <c r="F756" i="5" s="1"/>
  <c r="D757" i="5"/>
  <c r="F757" i="5" s="1"/>
  <c r="D758" i="5"/>
  <c r="F758" i="5" s="1"/>
  <c r="D759" i="5"/>
  <c r="F759" i="5" s="1"/>
  <c r="D760" i="5"/>
  <c r="F760" i="5" s="1"/>
  <c r="D761" i="5"/>
  <c r="F761" i="5" s="1"/>
  <c r="D762" i="5"/>
  <c r="F762" i="5" s="1"/>
  <c r="D763" i="5"/>
  <c r="F763" i="5" s="1"/>
  <c r="D764" i="5"/>
  <c r="F764" i="5" s="1"/>
  <c r="D765" i="5"/>
  <c r="F765" i="5" s="1"/>
  <c r="D766" i="5"/>
  <c r="F766" i="5" s="1"/>
  <c r="D767" i="5"/>
  <c r="F767" i="5" s="1"/>
  <c r="D768" i="5"/>
  <c r="F768" i="5" s="1"/>
  <c r="D769" i="5"/>
  <c r="F769" i="5" s="1"/>
  <c r="D770" i="5"/>
  <c r="F770" i="5" s="1"/>
  <c r="D771" i="5"/>
  <c r="F771" i="5" s="1"/>
  <c r="D662" i="5"/>
  <c r="F662" i="5" s="1"/>
  <c r="D553" i="5"/>
  <c r="F553" i="5" s="1"/>
  <c r="D554" i="5"/>
  <c r="F554" i="5" s="1"/>
  <c r="D555" i="5"/>
  <c r="F555" i="5" s="1"/>
  <c r="D556" i="5"/>
  <c r="F556" i="5" s="1"/>
  <c r="D557" i="5"/>
  <c r="F557" i="5" s="1"/>
  <c r="D558" i="5"/>
  <c r="F558" i="5" s="1"/>
  <c r="D559" i="5"/>
  <c r="F559" i="5" s="1"/>
  <c r="D560" i="5"/>
  <c r="F560" i="5" s="1"/>
  <c r="D561" i="5"/>
  <c r="F561" i="5" s="1"/>
  <c r="D562" i="5"/>
  <c r="F562" i="5" s="1"/>
  <c r="D563" i="5"/>
  <c r="F563" i="5" s="1"/>
  <c r="D564" i="5"/>
  <c r="F564" i="5" s="1"/>
  <c r="D565" i="5"/>
  <c r="F565" i="5" s="1"/>
  <c r="D566" i="5"/>
  <c r="F566" i="5" s="1"/>
  <c r="D567" i="5"/>
  <c r="F567" i="5" s="1"/>
  <c r="D568" i="5"/>
  <c r="F568" i="5" s="1"/>
  <c r="D569" i="5"/>
  <c r="F569" i="5" s="1"/>
  <c r="D570" i="5"/>
  <c r="F570" i="5" s="1"/>
  <c r="D571" i="5"/>
  <c r="F571" i="5" s="1"/>
  <c r="D572" i="5"/>
  <c r="F572" i="5" s="1"/>
  <c r="D573" i="5"/>
  <c r="F573" i="5" s="1"/>
  <c r="D574" i="5"/>
  <c r="F574" i="5" s="1"/>
  <c r="D575" i="5"/>
  <c r="F575" i="5" s="1"/>
  <c r="D576" i="5"/>
  <c r="F576" i="5" s="1"/>
  <c r="D577" i="5"/>
  <c r="F577" i="5" s="1"/>
  <c r="D578" i="5"/>
  <c r="F578" i="5" s="1"/>
  <c r="D579" i="5"/>
  <c r="F579" i="5" s="1"/>
  <c r="D580" i="5"/>
  <c r="F580" i="5" s="1"/>
  <c r="D581" i="5"/>
  <c r="F581" i="5" s="1"/>
  <c r="D582" i="5"/>
  <c r="F582" i="5" s="1"/>
  <c r="D583" i="5"/>
  <c r="F583" i="5" s="1"/>
  <c r="D584" i="5"/>
  <c r="F584" i="5" s="1"/>
  <c r="D585" i="5"/>
  <c r="F585" i="5" s="1"/>
  <c r="D586" i="5"/>
  <c r="F586" i="5" s="1"/>
  <c r="D587" i="5"/>
  <c r="F587" i="5" s="1"/>
  <c r="D588" i="5"/>
  <c r="F588" i="5" s="1"/>
  <c r="D589" i="5"/>
  <c r="F589" i="5" s="1"/>
  <c r="D590" i="5"/>
  <c r="F590" i="5" s="1"/>
  <c r="D591" i="5"/>
  <c r="F591" i="5" s="1"/>
  <c r="D592" i="5"/>
  <c r="F592" i="5" s="1"/>
  <c r="D593" i="5"/>
  <c r="F593" i="5" s="1"/>
  <c r="D594" i="5"/>
  <c r="F594" i="5" s="1"/>
  <c r="D595" i="5"/>
  <c r="F595" i="5" s="1"/>
  <c r="D596" i="5"/>
  <c r="F596" i="5" s="1"/>
  <c r="D597" i="5"/>
  <c r="F597" i="5" s="1"/>
  <c r="D598" i="5"/>
  <c r="F598" i="5" s="1"/>
  <c r="D599" i="5"/>
  <c r="F599" i="5" s="1"/>
  <c r="D600" i="5"/>
  <c r="F600" i="5" s="1"/>
  <c r="D601" i="5"/>
  <c r="F601" i="5" s="1"/>
  <c r="D602" i="5"/>
  <c r="F602" i="5" s="1"/>
  <c r="D603" i="5"/>
  <c r="F603" i="5" s="1"/>
  <c r="D604" i="5"/>
  <c r="F604" i="5" s="1"/>
  <c r="D605" i="5"/>
  <c r="F605" i="5" s="1"/>
  <c r="D606" i="5"/>
  <c r="F606" i="5" s="1"/>
  <c r="D607" i="5"/>
  <c r="F607" i="5" s="1"/>
  <c r="D608" i="5"/>
  <c r="F608" i="5" s="1"/>
  <c r="D609" i="5"/>
  <c r="F609" i="5" s="1"/>
  <c r="D610" i="5"/>
  <c r="F610" i="5" s="1"/>
  <c r="D611" i="5"/>
  <c r="F611" i="5" s="1"/>
  <c r="D612" i="5"/>
  <c r="F612" i="5" s="1"/>
  <c r="D613" i="5"/>
  <c r="F613" i="5" s="1"/>
  <c r="D614" i="5"/>
  <c r="F614" i="5" s="1"/>
  <c r="D615" i="5"/>
  <c r="F615" i="5" s="1"/>
  <c r="D616" i="5"/>
  <c r="F616" i="5" s="1"/>
  <c r="D617" i="5"/>
  <c r="F617" i="5" s="1"/>
  <c r="D618" i="5"/>
  <c r="F618" i="5" s="1"/>
  <c r="D619" i="5"/>
  <c r="F619" i="5" s="1"/>
  <c r="D620" i="5"/>
  <c r="F620" i="5" s="1"/>
  <c r="D621" i="5"/>
  <c r="F621" i="5" s="1"/>
  <c r="D622" i="5"/>
  <c r="F622" i="5" s="1"/>
  <c r="D623" i="5"/>
  <c r="F623" i="5" s="1"/>
  <c r="D624" i="5"/>
  <c r="F624" i="5" s="1"/>
  <c r="D625" i="5"/>
  <c r="F625" i="5" s="1"/>
  <c r="D626" i="5"/>
  <c r="F626" i="5" s="1"/>
  <c r="D627" i="5"/>
  <c r="F627" i="5" s="1"/>
  <c r="D628" i="5"/>
  <c r="F628" i="5" s="1"/>
  <c r="D629" i="5"/>
  <c r="F629" i="5" s="1"/>
  <c r="D630" i="5"/>
  <c r="F630" i="5" s="1"/>
  <c r="D631" i="5"/>
  <c r="F631" i="5" s="1"/>
  <c r="D632" i="5"/>
  <c r="F632" i="5" s="1"/>
  <c r="D633" i="5"/>
  <c r="F633" i="5" s="1"/>
  <c r="D634" i="5"/>
  <c r="F634" i="5" s="1"/>
  <c r="D635" i="5"/>
  <c r="F635" i="5" s="1"/>
  <c r="D636" i="5"/>
  <c r="F636" i="5" s="1"/>
  <c r="D637" i="5"/>
  <c r="F637" i="5" s="1"/>
  <c r="D638" i="5"/>
  <c r="F638" i="5" s="1"/>
  <c r="D639" i="5"/>
  <c r="F639" i="5" s="1"/>
  <c r="D640" i="5"/>
  <c r="F640" i="5" s="1"/>
  <c r="D641" i="5"/>
  <c r="F641" i="5" s="1"/>
  <c r="D642" i="5"/>
  <c r="F642" i="5" s="1"/>
  <c r="D643" i="5"/>
  <c r="F643" i="5" s="1"/>
  <c r="D644" i="5"/>
  <c r="F644" i="5" s="1"/>
  <c r="D645" i="5"/>
  <c r="F645" i="5" s="1"/>
  <c r="D646" i="5"/>
  <c r="F646" i="5" s="1"/>
  <c r="D647" i="5"/>
  <c r="F647" i="5" s="1"/>
  <c r="D648" i="5"/>
  <c r="F648" i="5" s="1"/>
  <c r="D649" i="5"/>
  <c r="F649" i="5" s="1"/>
  <c r="D650" i="5"/>
  <c r="F650" i="5" s="1"/>
  <c r="D651" i="5"/>
  <c r="F651" i="5" s="1"/>
  <c r="D652" i="5"/>
  <c r="F652" i="5" s="1"/>
  <c r="D653" i="5"/>
  <c r="F653" i="5" s="1"/>
  <c r="D654" i="5"/>
  <c r="F654" i="5" s="1"/>
  <c r="D655" i="5"/>
  <c r="F655" i="5" s="1"/>
  <c r="D656" i="5"/>
  <c r="F656" i="5" s="1"/>
  <c r="D657" i="5"/>
  <c r="F657" i="5" s="1"/>
  <c r="D658" i="5"/>
  <c r="F658" i="5" s="1"/>
  <c r="D659" i="5"/>
  <c r="F659" i="5" s="1"/>
  <c r="D660" i="5"/>
  <c r="F660" i="5" s="1"/>
  <c r="D661" i="5"/>
  <c r="F661" i="5" s="1"/>
  <c r="D552" i="5"/>
  <c r="F552" i="5" s="1"/>
  <c r="D443" i="5"/>
  <c r="F443" i="5" s="1"/>
  <c r="D444" i="5"/>
  <c r="F444" i="5" s="1"/>
  <c r="D445" i="5"/>
  <c r="F445" i="5" s="1"/>
  <c r="D446" i="5"/>
  <c r="F446" i="5" s="1"/>
  <c r="D447" i="5"/>
  <c r="F447" i="5" s="1"/>
  <c r="D448" i="5"/>
  <c r="F448" i="5" s="1"/>
  <c r="D449" i="5"/>
  <c r="F449" i="5" s="1"/>
  <c r="D450" i="5"/>
  <c r="F450" i="5" s="1"/>
  <c r="D451" i="5"/>
  <c r="F451" i="5" s="1"/>
  <c r="D452" i="5"/>
  <c r="F452" i="5" s="1"/>
  <c r="D453" i="5"/>
  <c r="F453" i="5" s="1"/>
  <c r="D454" i="5"/>
  <c r="F454" i="5" s="1"/>
  <c r="D455" i="5"/>
  <c r="F455" i="5" s="1"/>
  <c r="D456" i="5"/>
  <c r="F456" i="5" s="1"/>
  <c r="D457" i="5"/>
  <c r="F457" i="5" s="1"/>
  <c r="D458" i="5"/>
  <c r="F458" i="5" s="1"/>
  <c r="D459" i="5"/>
  <c r="F459" i="5" s="1"/>
  <c r="D460" i="5"/>
  <c r="F460" i="5" s="1"/>
  <c r="D461" i="5"/>
  <c r="F461" i="5" s="1"/>
  <c r="D462" i="5"/>
  <c r="F462" i="5" s="1"/>
  <c r="D463" i="5"/>
  <c r="F463" i="5" s="1"/>
  <c r="D464" i="5"/>
  <c r="F464" i="5" s="1"/>
  <c r="D465" i="5"/>
  <c r="F465" i="5" s="1"/>
  <c r="D466" i="5"/>
  <c r="F466" i="5" s="1"/>
  <c r="D467" i="5"/>
  <c r="F467" i="5" s="1"/>
  <c r="D468" i="5"/>
  <c r="F468" i="5" s="1"/>
  <c r="D469" i="5"/>
  <c r="F469" i="5" s="1"/>
  <c r="D470" i="5"/>
  <c r="F470" i="5" s="1"/>
  <c r="D471" i="5"/>
  <c r="F471" i="5" s="1"/>
  <c r="D472" i="5"/>
  <c r="F472" i="5" s="1"/>
  <c r="D473" i="5"/>
  <c r="F473" i="5" s="1"/>
  <c r="D474" i="5"/>
  <c r="F474" i="5" s="1"/>
  <c r="D475" i="5"/>
  <c r="F475" i="5" s="1"/>
  <c r="D476" i="5"/>
  <c r="F476" i="5" s="1"/>
  <c r="D477" i="5"/>
  <c r="F477" i="5" s="1"/>
  <c r="D478" i="5"/>
  <c r="F478" i="5" s="1"/>
  <c r="D479" i="5"/>
  <c r="F479" i="5" s="1"/>
  <c r="D480" i="5"/>
  <c r="F480" i="5" s="1"/>
  <c r="D481" i="5"/>
  <c r="F481" i="5" s="1"/>
  <c r="D482" i="5"/>
  <c r="F482" i="5" s="1"/>
  <c r="D483" i="5"/>
  <c r="F483" i="5" s="1"/>
  <c r="D484" i="5"/>
  <c r="F484" i="5" s="1"/>
  <c r="D485" i="5"/>
  <c r="F485" i="5" s="1"/>
  <c r="D486" i="5"/>
  <c r="F486" i="5" s="1"/>
  <c r="D487" i="5"/>
  <c r="F487" i="5" s="1"/>
  <c r="D488" i="5"/>
  <c r="F488" i="5" s="1"/>
  <c r="D489" i="5"/>
  <c r="F489" i="5" s="1"/>
  <c r="D490" i="5"/>
  <c r="F490" i="5" s="1"/>
  <c r="D491" i="5"/>
  <c r="F491" i="5" s="1"/>
  <c r="D492" i="5"/>
  <c r="F492" i="5" s="1"/>
  <c r="D493" i="5"/>
  <c r="F493" i="5" s="1"/>
  <c r="D494" i="5"/>
  <c r="F494" i="5" s="1"/>
  <c r="D495" i="5"/>
  <c r="F495" i="5" s="1"/>
  <c r="D496" i="5"/>
  <c r="F496" i="5" s="1"/>
  <c r="D497" i="5"/>
  <c r="F497" i="5" s="1"/>
  <c r="D498" i="5"/>
  <c r="F498" i="5" s="1"/>
  <c r="D499" i="5"/>
  <c r="F499" i="5" s="1"/>
  <c r="D500" i="5"/>
  <c r="F500" i="5" s="1"/>
  <c r="D501" i="5"/>
  <c r="F501" i="5" s="1"/>
  <c r="D502" i="5"/>
  <c r="F502" i="5" s="1"/>
  <c r="D503" i="5"/>
  <c r="F503" i="5" s="1"/>
  <c r="D504" i="5"/>
  <c r="F504" i="5" s="1"/>
  <c r="D505" i="5"/>
  <c r="F505" i="5" s="1"/>
  <c r="D506" i="5"/>
  <c r="F506" i="5" s="1"/>
  <c r="D507" i="5"/>
  <c r="F507" i="5" s="1"/>
  <c r="D508" i="5"/>
  <c r="F508" i="5" s="1"/>
  <c r="D509" i="5"/>
  <c r="F509" i="5" s="1"/>
  <c r="D510" i="5"/>
  <c r="F510" i="5" s="1"/>
  <c r="D511" i="5"/>
  <c r="F511" i="5" s="1"/>
  <c r="D512" i="5"/>
  <c r="F512" i="5" s="1"/>
  <c r="D513" i="5"/>
  <c r="F513" i="5" s="1"/>
  <c r="D514" i="5"/>
  <c r="F514" i="5" s="1"/>
  <c r="D515" i="5"/>
  <c r="F515" i="5" s="1"/>
  <c r="D516" i="5"/>
  <c r="F516" i="5" s="1"/>
  <c r="D517" i="5"/>
  <c r="F517" i="5" s="1"/>
  <c r="D518" i="5"/>
  <c r="F518" i="5" s="1"/>
  <c r="D519" i="5"/>
  <c r="F519" i="5" s="1"/>
  <c r="D520" i="5"/>
  <c r="F520" i="5" s="1"/>
  <c r="D521" i="5"/>
  <c r="F521" i="5" s="1"/>
  <c r="D522" i="5"/>
  <c r="F522" i="5" s="1"/>
  <c r="D523" i="5"/>
  <c r="F523" i="5" s="1"/>
  <c r="D524" i="5"/>
  <c r="F524" i="5" s="1"/>
  <c r="D525" i="5"/>
  <c r="F525" i="5" s="1"/>
  <c r="D526" i="5"/>
  <c r="F526" i="5" s="1"/>
  <c r="D527" i="5"/>
  <c r="F527" i="5" s="1"/>
  <c r="D528" i="5"/>
  <c r="F528" i="5" s="1"/>
  <c r="D529" i="5"/>
  <c r="F529" i="5" s="1"/>
  <c r="D530" i="5"/>
  <c r="F530" i="5" s="1"/>
  <c r="D531" i="5"/>
  <c r="F531" i="5" s="1"/>
  <c r="D532" i="5"/>
  <c r="F532" i="5" s="1"/>
  <c r="D533" i="5"/>
  <c r="F533" i="5" s="1"/>
  <c r="D534" i="5"/>
  <c r="F534" i="5" s="1"/>
  <c r="D535" i="5"/>
  <c r="F535" i="5" s="1"/>
  <c r="D536" i="5"/>
  <c r="F536" i="5" s="1"/>
  <c r="D537" i="5"/>
  <c r="F537" i="5" s="1"/>
  <c r="D538" i="5"/>
  <c r="F538" i="5" s="1"/>
  <c r="D539" i="5"/>
  <c r="F539" i="5" s="1"/>
  <c r="D540" i="5"/>
  <c r="F540" i="5" s="1"/>
  <c r="D541" i="5"/>
  <c r="F541" i="5" s="1"/>
  <c r="D542" i="5"/>
  <c r="F542" i="5" s="1"/>
  <c r="D543" i="5"/>
  <c r="F543" i="5" s="1"/>
  <c r="D544" i="5"/>
  <c r="F544" i="5" s="1"/>
  <c r="D545" i="5"/>
  <c r="F545" i="5" s="1"/>
  <c r="D546" i="5"/>
  <c r="F546" i="5" s="1"/>
  <c r="D547" i="5"/>
  <c r="F547" i="5" s="1"/>
  <c r="D548" i="5"/>
  <c r="F548" i="5" s="1"/>
  <c r="D549" i="5"/>
  <c r="F549" i="5" s="1"/>
  <c r="D550" i="5"/>
  <c r="F550" i="5" s="1"/>
  <c r="D551" i="5"/>
  <c r="F551" i="5" s="1"/>
  <c r="D442" i="5"/>
  <c r="F442" i="5" s="1"/>
  <c r="D333" i="5"/>
  <c r="F333" i="5" s="1"/>
  <c r="D334" i="5"/>
  <c r="F334" i="5" s="1"/>
  <c r="D335" i="5"/>
  <c r="F335" i="5" s="1"/>
  <c r="D336" i="5"/>
  <c r="F336" i="5" s="1"/>
  <c r="D337" i="5"/>
  <c r="F337" i="5" s="1"/>
  <c r="D338" i="5"/>
  <c r="F338" i="5" s="1"/>
  <c r="D339" i="5"/>
  <c r="F339" i="5" s="1"/>
  <c r="D340" i="5"/>
  <c r="F340" i="5" s="1"/>
  <c r="D341" i="5"/>
  <c r="F341" i="5" s="1"/>
  <c r="D342" i="5"/>
  <c r="F342" i="5" s="1"/>
  <c r="D343" i="5"/>
  <c r="F343" i="5" s="1"/>
  <c r="D344" i="5"/>
  <c r="F344" i="5" s="1"/>
  <c r="D345" i="5"/>
  <c r="F345" i="5" s="1"/>
  <c r="D346" i="5"/>
  <c r="F346" i="5" s="1"/>
  <c r="D347" i="5"/>
  <c r="F347" i="5" s="1"/>
  <c r="D348" i="5"/>
  <c r="F348" i="5" s="1"/>
  <c r="D349" i="5"/>
  <c r="F349" i="5" s="1"/>
  <c r="D350" i="5"/>
  <c r="F350" i="5" s="1"/>
  <c r="D351" i="5"/>
  <c r="F351" i="5" s="1"/>
  <c r="D352" i="5"/>
  <c r="F352" i="5" s="1"/>
  <c r="D353" i="5"/>
  <c r="F353" i="5" s="1"/>
  <c r="D354" i="5"/>
  <c r="F354" i="5" s="1"/>
  <c r="D355" i="5"/>
  <c r="F355" i="5" s="1"/>
  <c r="D356" i="5"/>
  <c r="F356" i="5" s="1"/>
  <c r="D357" i="5"/>
  <c r="F357" i="5" s="1"/>
  <c r="D358" i="5"/>
  <c r="F358" i="5" s="1"/>
  <c r="D359" i="5"/>
  <c r="F359" i="5" s="1"/>
  <c r="D360" i="5"/>
  <c r="F360" i="5" s="1"/>
  <c r="D361" i="5"/>
  <c r="F361" i="5" s="1"/>
  <c r="D362" i="5"/>
  <c r="F362" i="5" s="1"/>
  <c r="D363" i="5"/>
  <c r="F363" i="5" s="1"/>
  <c r="D364" i="5"/>
  <c r="F364" i="5" s="1"/>
  <c r="D365" i="5"/>
  <c r="F365" i="5" s="1"/>
  <c r="D366" i="5"/>
  <c r="F366" i="5" s="1"/>
  <c r="D367" i="5"/>
  <c r="F367" i="5" s="1"/>
  <c r="D368" i="5"/>
  <c r="F368" i="5" s="1"/>
  <c r="D369" i="5"/>
  <c r="F369" i="5" s="1"/>
  <c r="D370" i="5"/>
  <c r="F370" i="5" s="1"/>
  <c r="D371" i="5"/>
  <c r="F371" i="5" s="1"/>
  <c r="D372" i="5"/>
  <c r="F372" i="5" s="1"/>
  <c r="D373" i="5"/>
  <c r="F373" i="5" s="1"/>
  <c r="D374" i="5"/>
  <c r="F374" i="5" s="1"/>
  <c r="D375" i="5"/>
  <c r="F375" i="5" s="1"/>
  <c r="D376" i="5"/>
  <c r="F376" i="5" s="1"/>
  <c r="D377" i="5"/>
  <c r="F377" i="5" s="1"/>
  <c r="D378" i="5"/>
  <c r="F378" i="5" s="1"/>
  <c r="D379" i="5"/>
  <c r="F379" i="5" s="1"/>
  <c r="D380" i="5"/>
  <c r="F380" i="5" s="1"/>
  <c r="D381" i="5"/>
  <c r="F381" i="5" s="1"/>
  <c r="D382" i="5"/>
  <c r="F382" i="5" s="1"/>
  <c r="D383" i="5"/>
  <c r="F383" i="5" s="1"/>
  <c r="D384" i="5"/>
  <c r="F384" i="5" s="1"/>
  <c r="D385" i="5"/>
  <c r="F385" i="5" s="1"/>
  <c r="D386" i="5"/>
  <c r="F386" i="5" s="1"/>
  <c r="D387" i="5"/>
  <c r="F387" i="5" s="1"/>
  <c r="D388" i="5"/>
  <c r="F388" i="5" s="1"/>
  <c r="D389" i="5"/>
  <c r="F389" i="5" s="1"/>
  <c r="D390" i="5"/>
  <c r="F390" i="5" s="1"/>
  <c r="D391" i="5"/>
  <c r="F391" i="5" s="1"/>
  <c r="D392" i="5"/>
  <c r="F392" i="5" s="1"/>
  <c r="D393" i="5"/>
  <c r="F393" i="5" s="1"/>
  <c r="D394" i="5"/>
  <c r="F394" i="5" s="1"/>
  <c r="D395" i="5"/>
  <c r="F395" i="5" s="1"/>
  <c r="D396" i="5"/>
  <c r="F396" i="5" s="1"/>
  <c r="D397" i="5"/>
  <c r="F397" i="5" s="1"/>
  <c r="D398" i="5"/>
  <c r="F398" i="5" s="1"/>
  <c r="D399" i="5"/>
  <c r="F399" i="5" s="1"/>
  <c r="D400" i="5"/>
  <c r="F400" i="5" s="1"/>
  <c r="D401" i="5"/>
  <c r="F401" i="5" s="1"/>
  <c r="D402" i="5"/>
  <c r="F402" i="5" s="1"/>
  <c r="D403" i="5"/>
  <c r="F403" i="5" s="1"/>
  <c r="D404" i="5"/>
  <c r="F404" i="5" s="1"/>
  <c r="D405" i="5"/>
  <c r="F405" i="5" s="1"/>
  <c r="D406" i="5"/>
  <c r="F406" i="5" s="1"/>
  <c r="D407" i="5"/>
  <c r="F407" i="5" s="1"/>
  <c r="D408" i="5"/>
  <c r="F408" i="5" s="1"/>
  <c r="D409" i="5"/>
  <c r="F409" i="5" s="1"/>
  <c r="D410" i="5"/>
  <c r="F410" i="5" s="1"/>
  <c r="D411" i="5"/>
  <c r="F411" i="5" s="1"/>
  <c r="D412" i="5"/>
  <c r="F412" i="5" s="1"/>
  <c r="D413" i="5"/>
  <c r="F413" i="5" s="1"/>
  <c r="D414" i="5"/>
  <c r="F414" i="5" s="1"/>
  <c r="D415" i="5"/>
  <c r="F415" i="5" s="1"/>
  <c r="D416" i="5"/>
  <c r="F416" i="5" s="1"/>
  <c r="D417" i="5"/>
  <c r="F417" i="5" s="1"/>
  <c r="D418" i="5"/>
  <c r="F418" i="5" s="1"/>
  <c r="D419" i="5"/>
  <c r="F419" i="5" s="1"/>
  <c r="D420" i="5"/>
  <c r="F420" i="5" s="1"/>
  <c r="D421" i="5"/>
  <c r="F421" i="5" s="1"/>
  <c r="D422" i="5"/>
  <c r="F422" i="5" s="1"/>
  <c r="D423" i="5"/>
  <c r="F423" i="5" s="1"/>
  <c r="D424" i="5"/>
  <c r="F424" i="5" s="1"/>
  <c r="D425" i="5"/>
  <c r="F425" i="5" s="1"/>
  <c r="D426" i="5"/>
  <c r="F426" i="5" s="1"/>
  <c r="D427" i="5"/>
  <c r="F427" i="5" s="1"/>
  <c r="D428" i="5"/>
  <c r="F428" i="5" s="1"/>
  <c r="D429" i="5"/>
  <c r="F429" i="5" s="1"/>
  <c r="D430" i="5"/>
  <c r="F430" i="5" s="1"/>
  <c r="D431" i="5"/>
  <c r="F431" i="5" s="1"/>
  <c r="D432" i="5"/>
  <c r="F432" i="5" s="1"/>
  <c r="D433" i="5"/>
  <c r="F433" i="5" s="1"/>
  <c r="D434" i="5"/>
  <c r="F434" i="5" s="1"/>
  <c r="D435" i="5"/>
  <c r="F435" i="5" s="1"/>
  <c r="D436" i="5"/>
  <c r="F436" i="5" s="1"/>
  <c r="D437" i="5"/>
  <c r="F437" i="5" s="1"/>
  <c r="D438" i="5"/>
  <c r="F438" i="5" s="1"/>
  <c r="D439" i="5"/>
  <c r="F439" i="5" s="1"/>
  <c r="D440" i="5"/>
  <c r="F440" i="5" s="1"/>
  <c r="D441" i="5"/>
  <c r="F441" i="5" s="1"/>
  <c r="D332" i="5"/>
  <c r="F332" i="5" s="1"/>
  <c r="D331" i="5"/>
  <c r="F331" i="5" s="1"/>
  <c r="D223" i="5"/>
  <c r="F223" i="5" s="1"/>
  <c r="D224" i="5"/>
  <c r="F224" i="5" s="1"/>
  <c r="D225" i="5"/>
  <c r="F225" i="5" s="1"/>
  <c r="D226" i="5"/>
  <c r="F226" i="5" s="1"/>
  <c r="D227" i="5"/>
  <c r="F227" i="5" s="1"/>
  <c r="D228" i="5"/>
  <c r="F228" i="5" s="1"/>
  <c r="D229" i="5"/>
  <c r="F229" i="5" s="1"/>
  <c r="D230" i="5"/>
  <c r="F230" i="5" s="1"/>
  <c r="D231" i="5"/>
  <c r="F231" i="5" s="1"/>
  <c r="D232" i="5"/>
  <c r="F232" i="5" s="1"/>
  <c r="D233" i="5"/>
  <c r="F233" i="5" s="1"/>
  <c r="D234" i="5"/>
  <c r="F234" i="5" s="1"/>
  <c r="D235" i="5"/>
  <c r="F235" i="5" s="1"/>
  <c r="D236" i="5"/>
  <c r="F236" i="5" s="1"/>
  <c r="D237" i="5"/>
  <c r="F237" i="5" s="1"/>
  <c r="D238" i="5"/>
  <c r="F238" i="5" s="1"/>
  <c r="D239" i="5"/>
  <c r="F239" i="5" s="1"/>
  <c r="D240" i="5"/>
  <c r="F240" i="5" s="1"/>
  <c r="D241" i="5"/>
  <c r="F241" i="5" s="1"/>
  <c r="D242" i="5"/>
  <c r="F242" i="5" s="1"/>
  <c r="D243" i="5"/>
  <c r="F243" i="5" s="1"/>
  <c r="D244" i="5"/>
  <c r="F244" i="5" s="1"/>
  <c r="D245" i="5"/>
  <c r="F245" i="5" s="1"/>
  <c r="D246" i="5"/>
  <c r="F246" i="5" s="1"/>
  <c r="D247" i="5"/>
  <c r="F247" i="5" s="1"/>
  <c r="D248" i="5"/>
  <c r="F248" i="5" s="1"/>
  <c r="D249" i="5"/>
  <c r="F249" i="5" s="1"/>
  <c r="D250" i="5"/>
  <c r="F250" i="5" s="1"/>
  <c r="D251" i="5"/>
  <c r="F251" i="5" s="1"/>
  <c r="D252" i="5"/>
  <c r="F252" i="5" s="1"/>
  <c r="D253" i="5"/>
  <c r="F253" i="5" s="1"/>
  <c r="D254" i="5"/>
  <c r="F254" i="5" s="1"/>
  <c r="D255" i="5"/>
  <c r="F255" i="5" s="1"/>
  <c r="D256" i="5"/>
  <c r="F256" i="5" s="1"/>
  <c r="D257" i="5"/>
  <c r="F257" i="5" s="1"/>
  <c r="D258" i="5"/>
  <c r="F258" i="5" s="1"/>
  <c r="D259" i="5"/>
  <c r="F259" i="5" s="1"/>
  <c r="D260" i="5"/>
  <c r="F260" i="5" s="1"/>
  <c r="D261" i="5"/>
  <c r="F261" i="5" s="1"/>
  <c r="D262" i="5"/>
  <c r="F262" i="5" s="1"/>
  <c r="D263" i="5"/>
  <c r="F263" i="5" s="1"/>
  <c r="D264" i="5"/>
  <c r="F264" i="5" s="1"/>
  <c r="D265" i="5"/>
  <c r="F265" i="5" s="1"/>
  <c r="D266" i="5"/>
  <c r="F266" i="5" s="1"/>
  <c r="D267" i="5"/>
  <c r="F267" i="5" s="1"/>
  <c r="D268" i="5"/>
  <c r="F268" i="5" s="1"/>
  <c r="D269" i="5"/>
  <c r="F269" i="5" s="1"/>
  <c r="D270" i="5"/>
  <c r="F270" i="5" s="1"/>
  <c r="D271" i="5"/>
  <c r="F271" i="5" s="1"/>
  <c r="D272" i="5"/>
  <c r="F272" i="5" s="1"/>
  <c r="D273" i="5"/>
  <c r="F273" i="5" s="1"/>
  <c r="D274" i="5"/>
  <c r="F274" i="5" s="1"/>
  <c r="D275" i="5"/>
  <c r="F275" i="5" s="1"/>
  <c r="D276" i="5"/>
  <c r="F276" i="5" s="1"/>
  <c r="D277" i="5"/>
  <c r="F277" i="5" s="1"/>
  <c r="D278" i="5"/>
  <c r="F278" i="5" s="1"/>
  <c r="D279" i="5"/>
  <c r="F279" i="5" s="1"/>
  <c r="D280" i="5"/>
  <c r="F280" i="5" s="1"/>
  <c r="D281" i="5"/>
  <c r="F281" i="5" s="1"/>
  <c r="D282" i="5"/>
  <c r="F282" i="5" s="1"/>
  <c r="D283" i="5"/>
  <c r="F283" i="5" s="1"/>
  <c r="D284" i="5"/>
  <c r="F284" i="5" s="1"/>
  <c r="D285" i="5"/>
  <c r="F285" i="5" s="1"/>
  <c r="D286" i="5"/>
  <c r="F286" i="5" s="1"/>
  <c r="D287" i="5"/>
  <c r="F287" i="5" s="1"/>
  <c r="D288" i="5"/>
  <c r="F288" i="5" s="1"/>
  <c r="D289" i="5"/>
  <c r="F289" i="5" s="1"/>
  <c r="D290" i="5"/>
  <c r="F290" i="5" s="1"/>
  <c r="D291" i="5"/>
  <c r="F291" i="5" s="1"/>
  <c r="D292" i="5"/>
  <c r="F292" i="5" s="1"/>
  <c r="D293" i="5"/>
  <c r="F293" i="5" s="1"/>
  <c r="D294" i="5"/>
  <c r="F294" i="5" s="1"/>
  <c r="D295" i="5"/>
  <c r="F295" i="5" s="1"/>
  <c r="D296" i="5"/>
  <c r="F296" i="5" s="1"/>
  <c r="D297" i="5"/>
  <c r="F297" i="5" s="1"/>
  <c r="D298" i="5"/>
  <c r="F298" i="5" s="1"/>
  <c r="D299" i="5"/>
  <c r="F299" i="5" s="1"/>
  <c r="D300" i="5"/>
  <c r="F300" i="5" s="1"/>
  <c r="D301" i="5"/>
  <c r="F301" i="5" s="1"/>
  <c r="D302" i="5"/>
  <c r="F302" i="5" s="1"/>
  <c r="D303" i="5"/>
  <c r="F303" i="5" s="1"/>
  <c r="D304" i="5"/>
  <c r="F304" i="5" s="1"/>
  <c r="D305" i="5"/>
  <c r="F305" i="5" s="1"/>
  <c r="D306" i="5"/>
  <c r="F306" i="5" s="1"/>
  <c r="D307" i="5"/>
  <c r="F307" i="5" s="1"/>
  <c r="D308" i="5"/>
  <c r="F308" i="5" s="1"/>
  <c r="D309" i="5"/>
  <c r="F309" i="5" s="1"/>
  <c r="D310" i="5"/>
  <c r="F310" i="5" s="1"/>
  <c r="D311" i="5"/>
  <c r="F311" i="5" s="1"/>
  <c r="D312" i="5"/>
  <c r="F312" i="5" s="1"/>
  <c r="D313" i="5"/>
  <c r="F313" i="5" s="1"/>
  <c r="D314" i="5"/>
  <c r="F314" i="5" s="1"/>
  <c r="D315" i="5"/>
  <c r="F315" i="5" s="1"/>
  <c r="D316" i="5"/>
  <c r="F316" i="5" s="1"/>
  <c r="D317" i="5"/>
  <c r="F317" i="5" s="1"/>
  <c r="D318" i="5"/>
  <c r="F318" i="5" s="1"/>
  <c r="D319" i="5"/>
  <c r="F319" i="5" s="1"/>
  <c r="D320" i="5"/>
  <c r="F320" i="5" s="1"/>
  <c r="D321" i="5"/>
  <c r="F321" i="5" s="1"/>
  <c r="D322" i="5"/>
  <c r="F322" i="5" s="1"/>
  <c r="D323" i="5"/>
  <c r="F323" i="5" s="1"/>
  <c r="D324" i="5"/>
  <c r="F324" i="5" s="1"/>
  <c r="D325" i="5"/>
  <c r="F325" i="5" s="1"/>
  <c r="D326" i="5"/>
  <c r="F326" i="5" s="1"/>
  <c r="D327" i="5"/>
  <c r="F327" i="5" s="1"/>
  <c r="D328" i="5"/>
  <c r="F328" i="5" s="1"/>
  <c r="D329" i="5"/>
  <c r="F329" i="5" s="1"/>
  <c r="D330" i="5"/>
  <c r="F330" i="5" s="1"/>
  <c r="D222" i="5"/>
  <c r="F222" i="5" s="1"/>
  <c r="D113" i="5"/>
  <c r="F113" i="5" s="1"/>
  <c r="D114" i="5"/>
  <c r="F114" i="5" s="1"/>
  <c r="D115" i="5"/>
  <c r="F115" i="5" s="1"/>
  <c r="D116" i="5"/>
  <c r="F116" i="5" s="1"/>
  <c r="D117" i="5"/>
  <c r="F117" i="5" s="1"/>
  <c r="D118" i="5"/>
  <c r="F118" i="5" s="1"/>
  <c r="D119" i="5"/>
  <c r="F119" i="5" s="1"/>
  <c r="D120" i="5"/>
  <c r="F120" i="5" s="1"/>
  <c r="D121" i="5"/>
  <c r="F121" i="5" s="1"/>
  <c r="D122" i="5"/>
  <c r="F122" i="5" s="1"/>
  <c r="D123" i="5"/>
  <c r="F123" i="5" s="1"/>
  <c r="D124" i="5"/>
  <c r="F124" i="5" s="1"/>
  <c r="D125" i="5"/>
  <c r="F125" i="5" s="1"/>
  <c r="D126" i="5"/>
  <c r="F126" i="5" s="1"/>
  <c r="D127" i="5"/>
  <c r="F127" i="5" s="1"/>
  <c r="D128" i="5"/>
  <c r="F128" i="5" s="1"/>
  <c r="D129" i="5"/>
  <c r="F129" i="5" s="1"/>
  <c r="D130" i="5"/>
  <c r="F130" i="5" s="1"/>
  <c r="D131" i="5"/>
  <c r="F131" i="5" s="1"/>
  <c r="D132" i="5"/>
  <c r="F132" i="5" s="1"/>
  <c r="D133" i="5"/>
  <c r="F133" i="5" s="1"/>
  <c r="D134" i="5"/>
  <c r="F134" i="5" s="1"/>
  <c r="D135" i="5"/>
  <c r="F135" i="5" s="1"/>
  <c r="D136" i="5"/>
  <c r="F136" i="5" s="1"/>
  <c r="D137" i="5"/>
  <c r="F137" i="5" s="1"/>
  <c r="D138" i="5"/>
  <c r="F138" i="5" s="1"/>
  <c r="D139" i="5"/>
  <c r="F139" i="5" s="1"/>
  <c r="D140" i="5"/>
  <c r="F140" i="5" s="1"/>
  <c r="D141" i="5"/>
  <c r="F141" i="5" s="1"/>
  <c r="D142" i="5"/>
  <c r="F142" i="5" s="1"/>
  <c r="D143" i="5"/>
  <c r="F143" i="5" s="1"/>
  <c r="D144" i="5"/>
  <c r="F144" i="5" s="1"/>
  <c r="D145" i="5"/>
  <c r="F145" i="5" s="1"/>
  <c r="D146" i="5"/>
  <c r="F146" i="5" s="1"/>
  <c r="D147" i="5"/>
  <c r="F147" i="5" s="1"/>
  <c r="D148" i="5"/>
  <c r="F148" i="5" s="1"/>
  <c r="D149" i="5"/>
  <c r="F149" i="5" s="1"/>
  <c r="D150" i="5"/>
  <c r="F150" i="5" s="1"/>
  <c r="D151" i="5"/>
  <c r="F151" i="5" s="1"/>
  <c r="D152" i="5"/>
  <c r="F152" i="5" s="1"/>
  <c r="D153" i="5"/>
  <c r="F153" i="5" s="1"/>
  <c r="D154" i="5"/>
  <c r="F154" i="5" s="1"/>
  <c r="D155" i="5"/>
  <c r="F155" i="5" s="1"/>
  <c r="D156" i="5"/>
  <c r="F156" i="5" s="1"/>
  <c r="D157" i="5"/>
  <c r="F157" i="5" s="1"/>
  <c r="D158" i="5"/>
  <c r="F158" i="5" s="1"/>
  <c r="D159" i="5"/>
  <c r="F159" i="5" s="1"/>
  <c r="D160" i="5"/>
  <c r="F160" i="5" s="1"/>
  <c r="D161" i="5"/>
  <c r="F161" i="5" s="1"/>
  <c r="D162" i="5"/>
  <c r="F162" i="5" s="1"/>
  <c r="D163" i="5"/>
  <c r="F163" i="5" s="1"/>
  <c r="D164" i="5"/>
  <c r="F164" i="5" s="1"/>
  <c r="D165" i="5"/>
  <c r="F165" i="5" s="1"/>
  <c r="D166" i="5"/>
  <c r="F166" i="5" s="1"/>
  <c r="D167" i="5"/>
  <c r="F167" i="5" s="1"/>
  <c r="D168" i="5"/>
  <c r="F168" i="5" s="1"/>
  <c r="D169" i="5"/>
  <c r="F169" i="5" s="1"/>
  <c r="D170" i="5"/>
  <c r="F170" i="5" s="1"/>
  <c r="D171" i="5"/>
  <c r="F171" i="5" s="1"/>
  <c r="D172" i="5"/>
  <c r="F172" i="5" s="1"/>
  <c r="D173" i="5"/>
  <c r="F173" i="5" s="1"/>
  <c r="D174" i="5"/>
  <c r="F174" i="5" s="1"/>
  <c r="D175" i="5"/>
  <c r="F175" i="5" s="1"/>
  <c r="D176" i="5"/>
  <c r="F176" i="5" s="1"/>
  <c r="D177" i="5"/>
  <c r="F177" i="5" s="1"/>
  <c r="D178" i="5"/>
  <c r="F178" i="5" s="1"/>
  <c r="D179" i="5"/>
  <c r="F179" i="5" s="1"/>
  <c r="D180" i="5"/>
  <c r="F180" i="5" s="1"/>
  <c r="D181" i="5"/>
  <c r="F181" i="5" s="1"/>
  <c r="D182" i="5"/>
  <c r="F182" i="5" s="1"/>
  <c r="D183" i="5"/>
  <c r="F183" i="5" s="1"/>
  <c r="D184" i="5"/>
  <c r="F184" i="5" s="1"/>
  <c r="D185" i="5"/>
  <c r="F185" i="5" s="1"/>
  <c r="D186" i="5"/>
  <c r="F186" i="5" s="1"/>
  <c r="D187" i="5"/>
  <c r="F187" i="5" s="1"/>
  <c r="D188" i="5"/>
  <c r="F188" i="5" s="1"/>
  <c r="D189" i="5"/>
  <c r="F189" i="5" s="1"/>
  <c r="D190" i="5"/>
  <c r="F190" i="5" s="1"/>
  <c r="D191" i="5"/>
  <c r="F191" i="5" s="1"/>
  <c r="D192" i="5"/>
  <c r="F192" i="5" s="1"/>
  <c r="D193" i="5"/>
  <c r="F193" i="5" s="1"/>
  <c r="D194" i="5"/>
  <c r="F194" i="5" s="1"/>
  <c r="D195" i="5"/>
  <c r="F195" i="5" s="1"/>
  <c r="D196" i="5"/>
  <c r="F196" i="5" s="1"/>
  <c r="D197" i="5"/>
  <c r="F197" i="5" s="1"/>
  <c r="D198" i="5"/>
  <c r="F198" i="5" s="1"/>
  <c r="D199" i="5"/>
  <c r="F199" i="5" s="1"/>
  <c r="D200" i="5"/>
  <c r="F200" i="5" s="1"/>
  <c r="D201" i="5"/>
  <c r="F201" i="5" s="1"/>
  <c r="D202" i="5"/>
  <c r="F202" i="5" s="1"/>
  <c r="D203" i="5"/>
  <c r="F203" i="5" s="1"/>
  <c r="D204" i="5"/>
  <c r="F204" i="5" s="1"/>
  <c r="D205" i="5"/>
  <c r="F205" i="5" s="1"/>
  <c r="D206" i="5"/>
  <c r="F206" i="5" s="1"/>
  <c r="D207" i="5"/>
  <c r="F207" i="5" s="1"/>
  <c r="D208" i="5"/>
  <c r="F208" i="5" s="1"/>
  <c r="D209" i="5"/>
  <c r="F209" i="5" s="1"/>
  <c r="D210" i="5"/>
  <c r="F210" i="5" s="1"/>
  <c r="D211" i="5"/>
  <c r="F211" i="5" s="1"/>
  <c r="D212" i="5"/>
  <c r="F212" i="5" s="1"/>
  <c r="D213" i="5"/>
  <c r="F213" i="5" s="1"/>
  <c r="D214" i="5"/>
  <c r="F214" i="5" s="1"/>
  <c r="D215" i="5"/>
  <c r="F215" i="5" s="1"/>
  <c r="D216" i="5"/>
  <c r="F216" i="5" s="1"/>
  <c r="D217" i="5"/>
  <c r="F217" i="5" s="1"/>
  <c r="D218" i="5"/>
  <c r="F218" i="5" s="1"/>
  <c r="D219" i="5"/>
  <c r="F219" i="5" s="1"/>
  <c r="D220" i="5"/>
  <c r="F220" i="5" s="1"/>
  <c r="D221" i="5"/>
  <c r="F221" i="5" s="1"/>
  <c r="D112" i="5"/>
  <c r="F112" i="5" s="1"/>
  <c r="D3" i="5"/>
  <c r="F3" i="5" s="1"/>
  <c r="D4" i="5"/>
  <c r="F4" i="5" s="1"/>
  <c r="D5" i="5"/>
  <c r="F5" i="5" s="1"/>
  <c r="D6" i="5"/>
  <c r="F6" i="5" s="1"/>
  <c r="D7" i="5"/>
  <c r="F7" i="5" s="1"/>
  <c r="D8" i="5"/>
  <c r="F8" i="5" s="1"/>
  <c r="D9" i="5"/>
  <c r="F9" i="5" s="1"/>
  <c r="D10" i="5"/>
  <c r="F10" i="5" s="1"/>
  <c r="D11" i="5"/>
  <c r="F11" i="5" s="1"/>
  <c r="D12" i="5"/>
  <c r="F12" i="5" s="1"/>
  <c r="D13" i="5"/>
  <c r="F13" i="5" s="1"/>
  <c r="D14" i="5"/>
  <c r="F14" i="5" s="1"/>
  <c r="D15" i="5"/>
  <c r="F15" i="5" s="1"/>
  <c r="D16" i="5"/>
  <c r="F16" i="5" s="1"/>
  <c r="D17" i="5"/>
  <c r="F17" i="5" s="1"/>
  <c r="D18" i="5"/>
  <c r="F18" i="5" s="1"/>
  <c r="D19" i="5"/>
  <c r="F19" i="5" s="1"/>
  <c r="D20" i="5"/>
  <c r="F20" i="5" s="1"/>
  <c r="D21" i="5"/>
  <c r="F21" i="5" s="1"/>
  <c r="D22" i="5"/>
  <c r="F22" i="5" s="1"/>
  <c r="D23" i="5"/>
  <c r="F23" i="5" s="1"/>
  <c r="D24" i="5"/>
  <c r="F24" i="5" s="1"/>
  <c r="D25" i="5"/>
  <c r="F25" i="5" s="1"/>
  <c r="D26" i="5"/>
  <c r="F26" i="5" s="1"/>
  <c r="D27" i="5"/>
  <c r="F27" i="5" s="1"/>
  <c r="D28" i="5"/>
  <c r="F28" i="5" s="1"/>
  <c r="D29" i="5"/>
  <c r="F29" i="5" s="1"/>
  <c r="D30" i="5"/>
  <c r="F30" i="5" s="1"/>
  <c r="D31" i="5"/>
  <c r="F31" i="5" s="1"/>
  <c r="D32" i="5"/>
  <c r="F32" i="5" s="1"/>
  <c r="D33" i="5"/>
  <c r="F33" i="5" s="1"/>
  <c r="D34" i="5"/>
  <c r="F34" i="5" s="1"/>
  <c r="D35" i="5"/>
  <c r="F35" i="5" s="1"/>
  <c r="D36" i="5"/>
  <c r="F36" i="5" s="1"/>
  <c r="D37" i="5"/>
  <c r="F37" i="5" s="1"/>
  <c r="D38" i="5"/>
  <c r="F38" i="5" s="1"/>
  <c r="D39" i="5"/>
  <c r="F39" i="5" s="1"/>
  <c r="D40" i="5"/>
  <c r="F40" i="5" s="1"/>
  <c r="D41" i="5"/>
  <c r="F41" i="5" s="1"/>
  <c r="D42" i="5"/>
  <c r="F42" i="5" s="1"/>
  <c r="D43" i="5"/>
  <c r="F43" i="5" s="1"/>
  <c r="D44" i="5"/>
  <c r="F44" i="5" s="1"/>
  <c r="D45" i="5"/>
  <c r="F45" i="5" s="1"/>
  <c r="D46" i="5"/>
  <c r="F46" i="5" s="1"/>
  <c r="D47" i="5"/>
  <c r="F47" i="5" s="1"/>
  <c r="D48" i="5"/>
  <c r="F48" i="5" s="1"/>
  <c r="D49" i="5"/>
  <c r="F49" i="5" s="1"/>
  <c r="D50" i="5"/>
  <c r="F50" i="5" s="1"/>
  <c r="D51" i="5"/>
  <c r="F51" i="5" s="1"/>
  <c r="D52" i="5"/>
  <c r="F52" i="5" s="1"/>
  <c r="D53" i="5"/>
  <c r="F53" i="5" s="1"/>
  <c r="D54" i="5"/>
  <c r="F54" i="5" s="1"/>
  <c r="D55" i="5"/>
  <c r="F55" i="5" s="1"/>
  <c r="D56" i="5"/>
  <c r="F56" i="5" s="1"/>
  <c r="D57" i="5"/>
  <c r="F57" i="5" s="1"/>
  <c r="D58" i="5"/>
  <c r="F58" i="5" s="1"/>
  <c r="D59" i="5"/>
  <c r="F59" i="5" s="1"/>
  <c r="D60" i="5"/>
  <c r="F60" i="5" s="1"/>
  <c r="D61" i="5"/>
  <c r="F61" i="5" s="1"/>
  <c r="D62" i="5"/>
  <c r="F62" i="5" s="1"/>
  <c r="D63" i="5"/>
  <c r="F63" i="5" s="1"/>
  <c r="D64" i="5"/>
  <c r="F64" i="5" s="1"/>
  <c r="D65" i="5"/>
  <c r="F65" i="5" s="1"/>
  <c r="D66" i="5"/>
  <c r="F66" i="5" s="1"/>
  <c r="D67" i="5"/>
  <c r="F67" i="5" s="1"/>
  <c r="D68" i="5"/>
  <c r="F68" i="5" s="1"/>
  <c r="D69" i="5"/>
  <c r="F69" i="5" s="1"/>
  <c r="D70" i="5"/>
  <c r="F70" i="5" s="1"/>
  <c r="D71" i="5"/>
  <c r="F71" i="5" s="1"/>
  <c r="D72" i="5"/>
  <c r="F72" i="5" s="1"/>
  <c r="D73" i="5"/>
  <c r="F73" i="5" s="1"/>
  <c r="D74" i="5"/>
  <c r="F74" i="5" s="1"/>
  <c r="D75" i="5"/>
  <c r="F75" i="5" s="1"/>
  <c r="D76" i="5"/>
  <c r="F76" i="5" s="1"/>
  <c r="D77" i="5"/>
  <c r="F77" i="5" s="1"/>
  <c r="D78" i="5"/>
  <c r="F78" i="5" s="1"/>
  <c r="D79" i="5"/>
  <c r="F79" i="5" s="1"/>
  <c r="D80" i="5"/>
  <c r="F80" i="5" s="1"/>
  <c r="D81" i="5"/>
  <c r="F81" i="5" s="1"/>
  <c r="D82" i="5"/>
  <c r="F82" i="5" s="1"/>
  <c r="D83" i="5"/>
  <c r="F83" i="5" s="1"/>
  <c r="D84" i="5"/>
  <c r="F84" i="5" s="1"/>
  <c r="D85" i="5"/>
  <c r="F85" i="5" s="1"/>
  <c r="D86" i="5"/>
  <c r="F86" i="5" s="1"/>
  <c r="D87" i="5"/>
  <c r="F87" i="5" s="1"/>
  <c r="D88" i="5"/>
  <c r="F88" i="5" s="1"/>
  <c r="D89" i="5"/>
  <c r="F89" i="5" s="1"/>
  <c r="D90" i="5"/>
  <c r="F90" i="5" s="1"/>
  <c r="D91" i="5"/>
  <c r="F91" i="5" s="1"/>
  <c r="D92" i="5"/>
  <c r="F92" i="5" s="1"/>
  <c r="D93" i="5"/>
  <c r="F93" i="5" s="1"/>
  <c r="D94" i="5"/>
  <c r="F94" i="5" s="1"/>
  <c r="D95" i="5"/>
  <c r="F95" i="5" s="1"/>
  <c r="D96" i="5"/>
  <c r="F96" i="5" s="1"/>
  <c r="D97" i="5"/>
  <c r="F97" i="5" s="1"/>
  <c r="D98" i="5"/>
  <c r="F98" i="5" s="1"/>
  <c r="D99" i="5"/>
  <c r="F99" i="5" s="1"/>
  <c r="D100" i="5"/>
  <c r="F100" i="5" s="1"/>
  <c r="D101" i="5"/>
  <c r="F101" i="5" s="1"/>
  <c r="D102" i="5"/>
  <c r="F102" i="5" s="1"/>
  <c r="D103" i="5"/>
  <c r="F103" i="5" s="1"/>
  <c r="D104" i="5"/>
  <c r="F104" i="5" s="1"/>
  <c r="D105" i="5"/>
  <c r="F105" i="5" s="1"/>
  <c r="D106" i="5"/>
  <c r="F106" i="5" s="1"/>
  <c r="D107" i="5"/>
  <c r="F107" i="5" s="1"/>
  <c r="D108" i="5"/>
  <c r="F108" i="5" s="1"/>
  <c r="D109" i="5"/>
  <c r="F109" i="5" s="1"/>
  <c r="D110" i="5"/>
  <c r="F110" i="5" s="1"/>
  <c r="D111" i="5"/>
  <c r="F111" i="5" s="1"/>
  <c r="D2" i="5"/>
  <c r="F2" i="5" s="1"/>
</calcChain>
</file>

<file path=xl/sharedStrings.xml><?xml version="1.0" encoding="utf-8"?>
<sst xmlns="http://schemas.openxmlformats.org/spreadsheetml/2006/main" count="1570" uniqueCount="101">
  <si>
    <t>Date</t>
  </si>
  <si>
    <t>SSE</t>
  </si>
  <si>
    <t>EDP</t>
  </si>
  <si>
    <t>RWE</t>
  </si>
  <si>
    <t>Vestas</t>
  </si>
  <si>
    <t>Ørsted</t>
  </si>
  <si>
    <t>Fortum</t>
  </si>
  <si>
    <t>Neste</t>
  </si>
  <si>
    <t>Nibe</t>
  </si>
  <si>
    <t>Engie</t>
  </si>
  <si>
    <t>Centrica</t>
  </si>
  <si>
    <t>Iberdrola</t>
  </si>
  <si>
    <t>Enel</t>
  </si>
  <si>
    <t>DATE</t>
  </si>
  <si>
    <t>MSCI EU</t>
  </si>
  <si>
    <t>firm</t>
  </si>
  <si>
    <t>price</t>
  </si>
  <si>
    <t>Target_price</t>
  </si>
  <si>
    <t>Return</t>
  </si>
  <si>
    <t>Signal</t>
  </si>
  <si>
    <t>Generates and distributes renewable power</t>
  </si>
  <si>
    <t>Integrated Utilities</t>
  </si>
  <si>
    <t>Italy</t>
  </si>
  <si>
    <t>Produces and supplies renewable electricity</t>
  </si>
  <si>
    <t>Spain</t>
  </si>
  <si>
    <t>Expanding into renewable energy from traditional power</t>
  </si>
  <si>
    <t>Germany</t>
  </si>
  <si>
    <t>Develops and operates wind and solar energy</t>
  </si>
  <si>
    <t>Portugal</t>
  </si>
  <si>
    <t>Generates electricity and invests in renewable energy</t>
  </si>
  <si>
    <t>Great Britain</t>
  </si>
  <si>
    <t>Supplies energy and supports low_carbon energy solutions</t>
  </si>
  <si>
    <t>CENTRICA</t>
  </si>
  <si>
    <t xml:space="preserve">Provides energy services and invest in renewables </t>
  </si>
  <si>
    <t>France</t>
  </si>
  <si>
    <t>Develops and operates offshore wind farms</t>
  </si>
  <si>
    <t>Denmark</t>
  </si>
  <si>
    <t>Produces energy-efficient heating solutions (heat pumps)</t>
  </si>
  <si>
    <t>Electrification Equipment</t>
  </si>
  <si>
    <t>Sweden</t>
  </si>
  <si>
    <t>NIBE</t>
  </si>
  <si>
    <t>Produces renewable fuels to replace fossil fuels</t>
  </si>
  <si>
    <t>Renewable Fuels</t>
  </si>
  <si>
    <t>Finland</t>
  </si>
  <si>
    <t>Produces low-carbon electricity</t>
  </si>
  <si>
    <t>Builds wind turbines used to generate renewable energy</t>
  </si>
  <si>
    <t>Renewable Energy Equipment</t>
  </si>
  <si>
    <t>ROLE IN ENERGY TRANSITION</t>
  </si>
  <si>
    <t>SECTOR</t>
  </si>
  <si>
    <t>COUNTRY</t>
  </si>
  <si>
    <t>COMPANY</t>
  </si>
  <si>
    <t>MILAN</t>
  </si>
  <si>
    <t>ENEL-IT</t>
  </si>
  <si>
    <t>Madrid</t>
  </si>
  <si>
    <t>IBE-ES</t>
  </si>
  <si>
    <t>Xetra</t>
  </si>
  <si>
    <t>RWE-DE</t>
  </si>
  <si>
    <t>Euronext Lisbon</t>
  </si>
  <si>
    <t>EDP-PT</t>
  </si>
  <si>
    <t>London</t>
  </si>
  <si>
    <t>SSE-GB</t>
  </si>
  <si>
    <t>CAN-GB</t>
  </si>
  <si>
    <t>EURONEXT PARIS</t>
  </si>
  <si>
    <t>ENGI-FR</t>
  </si>
  <si>
    <t>OMX Nordic Copenhagen</t>
  </si>
  <si>
    <t>ORSTED-DK</t>
  </si>
  <si>
    <t>OMX Nordic Stockholm</t>
  </si>
  <si>
    <t>NIBE.B-SE</t>
  </si>
  <si>
    <t>OMX Nordic Helsinki</t>
  </si>
  <si>
    <t>NESTE-FI</t>
  </si>
  <si>
    <t>FORTUM-FI</t>
  </si>
  <si>
    <t>VWS-DK</t>
  </si>
  <si>
    <t>EXCHANGE</t>
  </si>
  <si>
    <t>30D Average Trading Value (€ millions)</t>
  </si>
  <si>
    <t>No of analyst target ratings</t>
  </si>
  <si>
    <t>Market Capitalization (€m)</t>
  </si>
  <si>
    <t>TICKER</t>
  </si>
  <si>
    <t xml:space="preserve">Utilities/International electric utilites </t>
  </si>
  <si>
    <t>yes, yes, no</t>
  </si>
  <si>
    <t>yes</t>
  </si>
  <si>
    <t>Utilities/ Europe wholesale power</t>
  </si>
  <si>
    <t>YES, YES, NO</t>
  </si>
  <si>
    <t>YES, YES, planned M&amp;A aug '26</t>
  </si>
  <si>
    <t>UTILITIES/Other International Energy Utilities</t>
  </si>
  <si>
    <t>UTILITIES/EUROPE WHOLESALE POWER</t>
  </si>
  <si>
    <t>industrial manufacturing/Environmental Control Machinery/Equipment Products</t>
  </si>
  <si>
    <t>Downstream and Midstream Energy/Europe petroluem refinery</t>
  </si>
  <si>
    <t>YES, YES, private placement in '18</t>
  </si>
  <si>
    <t>YES, YES,NO</t>
  </si>
  <si>
    <t>Industrial manufacturing/renewable energy</t>
  </si>
  <si>
    <t>Exhange</t>
  </si>
  <si>
    <t>SECTOR/Industry</t>
  </si>
  <si>
    <t>FS consistency: public listing b4 2026|price history continous 2016|Extreme restructuring?</t>
  </si>
  <si>
    <t>Liquidity requirement @avrg daily trading value &gt;10million euros</t>
  </si>
  <si>
    <t>Price @23/02 in euros (changes constantly*)</t>
  </si>
  <si>
    <t xml:space="preserve">30D Average trading volume </t>
  </si>
  <si>
    <t>no of analyst as at date</t>
  </si>
  <si>
    <t>Analyst taget history @Q1 2017</t>
  </si>
  <si>
    <t>Market cap (M) @20/02</t>
  </si>
  <si>
    <t xml:space="preserve">tick </t>
  </si>
  <si>
    <t>companies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</si>
</sst>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"/>
    <numFmt numFmtId="165" formatCode="yyyy\-mm\-dd;@"/>
    <numFmt numFmtId="166" formatCode="[$€-2]\ #,##0.00"/>
    <numFmt numFmtId="167" formatCode="&quot;£&quot;#,##0.0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rgb="FF232629"/>
      <name val="Aptos Narrow"/>
      <family val="2"/>
      <scheme val="minor"/>
    </font>
    <font>
      <sz val="11"/>
      <color rgb="FF232629"/>
      <name val="Arial"/>
      <family val="2"/>
    </font>
    <font>
      <sz val="9"/>
      <color theme="1"/>
      <name val="Aptos Narrow"/>
      <family val="2"/>
      <scheme val="minor"/>
    </font>
    <font>
      <sz val="6"/>
      <color rgb="FF232629"/>
      <name val="Arial"/>
      <family val="2"/>
    </font>
    <font>
      <sz val="9"/>
      <color rgb="FF23262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17" fontId="0" fillId="0" borderId="0" xfId="0" applyNumberFormat="1"/>
    <xf numFmtId="4" fontId="0" fillId="0" borderId="0" xfId="0" applyNumberFormat="1" applyAlignment="1">
      <alignment horizontal="right"/>
    </xf>
    <xf numFmtId="4" fontId="0" fillId="2" borderId="0" xfId="0" applyNumberFormat="1" applyFill="1" applyAlignment="1">
      <alignment horizontal="right"/>
    </xf>
    <xf numFmtId="164" fontId="0" fillId="0" borderId="0" xfId="0" applyNumberFormat="1"/>
    <xf numFmtId="14" fontId="0" fillId="0" borderId="0" xfId="0" applyNumberFormat="1" applyAlignment="1">
      <alignment horizontal="left"/>
    </xf>
    <xf numFmtId="14" fontId="0" fillId="2" borderId="0" xfId="0" applyNumberFormat="1" applyFill="1" applyAlignment="1">
      <alignment horizontal="left"/>
    </xf>
    <xf numFmtId="4" fontId="0" fillId="0" borderId="0" xfId="0" applyNumberFormat="1"/>
    <xf numFmtId="14" fontId="0" fillId="0" borderId="0" xfId="0" applyNumberFormat="1"/>
    <xf numFmtId="14" fontId="1" fillId="0" borderId="0" xfId="0" applyNumberFormat="1" applyFont="1"/>
    <xf numFmtId="0" fontId="0" fillId="3" borderId="1" xfId="0" applyFill="1" applyBorder="1"/>
    <xf numFmtId="4" fontId="0" fillId="3" borderId="1" xfId="0" applyNumberFormat="1" applyFill="1" applyBorder="1" applyAlignment="1">
      <alignment horizontal="right"/>
    </xf>
    <xf numFmtId="0" fontId="0" fillId="3" borderId="0" xfId="0" applyFill="1"/>
    <xf numFmtId="4" fontId="0" fillId="3" borderId="0" xfId="0" applyNumberFormat="1" applyFill="1"/>
    <xf numFmtId="165" fontId="0" fillId="2" borderId="0" xfId="0" applyNumberFormat="1" applyFill="1"/>
    <xf numFmtId="165" fontId="0" fillId="0" borderId="0" xfId="0" applyNumberFormat="1"/>
    <xf numFmtId="165" fontId="1" fillId="0" borderId="0" xfId="0" applyNumberFormat="1" applyFont="1"/>
    <xf numFmtId="0" fontId="3" fillId="0" borderId="0" xfId="0" applyFont="1"/>
    <xf numFmtId="0" fontId="1" fillId="4" borderId="0" xfId="0" applyFont="1" applyFill="1" applyAlignment="1">
      <alignment wrapText="1"/>
    </xf>
    <xf numFmtId="14" fontId="1" fillId="4" borderId="0" xfId="0" applyNumberFormat="1" applyFont="1" applyFill="1"/>
    <xf numFmtId="0" fontId="1" fillId="4" borderId="0" xfId="0" applyFont="1" applyFill="1"/>
    <xf numFmtId="166" fontId="0" fillId="0" borderId="0" xfId="0" applyNumberFormat="1"/>
    <xf numFmtId="0" fontId="4" fillId="0" borderId="0" xfId="0" applyFont="1"/>
    <xf numFmtId="167" fontId="0" fillId="0" borderId="0" xfId="0" applyNumberFormat="1"/>
    <xf numFmtId="3" fontId="5" fillId="0" borderId="0" xfId="0" applyNumberFormat="1" applyFont="1"/>
    <xf numFmtId="166" fontId="0" fillId="5" borderId="0" xfId="0" applyNumberFormat="1" applyFill="1"/>
    <xf numFmtId="0" fontId="6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8" fillId="0" borderId="0" xfId="0" applyFont="1"/>
    <xf numFmtId="2" fontId="0" fillId="0" borderId="0" xfId="0" applyNumberForma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D597B-6118-407B-B86C-B07EC12D60FE}">
  <dimension ref="A1:O113"/>
  <sheetViews>
    <sheetView workbookViewId="0">
      <selection activeCell="M2" sqref="M2:M111"/>
    </sheetView>
  </sheetViews>
  <sheetFormatPr defaultRowHeight="14.5" x14ac:dyDescent="0.35"/>
  <cols>
    <col min="1" max="1" width="9.08984375" customWidth="1"/>
  </cols>
  <sheetData>
    <row r="1" spans="1:14" x14ac:dyDescent="0.3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</v>
      </c>
      <c r="J1" s="1" t="s">
        <v>2</v>
      </c>
      <c r="K1" s="1" t="s">
        <v>3</v>
      </c>
      <c r="L1" s="1" t="s">
        <v>11</v>
      </c>
      <c r="M1" s="1" t="s">
        <v>12</v>
      </c>
    </row>
    <row r="2" spans="1:14" x14ac:dyDescent="0.35">
      <c r="A2" s="2">
        <v>42736</v>
      </c>
      <c r="B2" s="4">
        <v>12.951178000000001</v>
      </c>
      <c r="C2" s="4">
        <v>19.482880000000002</v>
      </c>
      <c r="D2" s="4">
        <v>14.79</v>
      </c>
      <c r="E2" s="4">
        <v>10.753322000000001</v>
      </c>
      <c r="F2" s="4">
        <v>1.9093267</v>
      </c>
      <c r="G2" s="4">
        <v>11.065</v>
      </c>
      <c r="H2" s="4">
        <v>2.6111947999999998</v>
      </c>
      <c r="I2" s="4">
        <v>17.334236000000001</v>
      </c>
      <c r="J2" s="4">
        <v>2.6270980000000002</v>
      </c>
      <c r="K2" s="4">
        <v>12.255000000000001</v>
      </c>
      <c r="L2" s="4">
        <v>5.8339999999999996</v>
      </c>
      <c r="M2" s="4">
        <v>3.8639999999999999</v>
      </c>
    </row>
    <row r="3" spans="1:14" x14ac:dyDescent="0.35">
      <c r="A3" s="2">
        <v>42767</v>
      </c>
      <c r="B3" s="3">
        <v>14.005326</v>
      </c>
      <c r="C3" s="3">
        <v>19.314620999999999</v>
      </c>
      <c r="D3" s="3">
        <v>14.49</v>
      </c>
      <c r="E3" s="3">
        <v>10.959989</v>
      </c>
      <c r="F3" s="3">
        <v>1.8965434000000001</v>
      </c>
      <c r="G3" s="3">
        <v>11.54</v>
      </c>
      <c r="H3" s="3">
        <v>2.6572027</v>
      </c>
      <c r="I3" s="3">
        <v>18.046493999999999</v>
      </c>
      <c r="J3" s="3">
        <v>2.8528644999999999</v>
      </c>
      <c r="K3" s="3">
        <v>13.455</v>
      </c>
      <c r="L3" s="3">
        <v>6.274</v>
      </c>
      <c r="M3" s="3">
        <v>4.0519999999999996</v>
      </c>
      <c r="N3" s="2"/>
    </row>
    <row r="4" spans="1:14" x14ac:dyDescent="0.35">
      <c r="A4" s="2">
        <v>42795</v>
      </c>
      <c r="B4" s="4">
        <v>15.249492</v>
      </c>
      <c r="C4" s="4">
        <v>20.097978999999999</v>
      </c>
      <c r="D4" s="4">
        <v>14.83</v>
      </c>
      <c r="E4" s="4">
        <v>12.186654000000001</v>
      </c>
      <c r="F4" s="4">
        <v>1.8757992999999999</v>
      </c>
      <c r="G4" s="4">
        <v>13.28</v>
      </c>
      <c r="H4" s="4">
        <v>2.5370263999999998</v>
      </c>
      <c r="I4" s="4">
        <v>17.256454000000002</v>
      </c>
      <c r="J4" s="4">
        <v>3.1030639999999998</v>
      </c>
      <c r="K4" s="4">
        <v>15.535</v>
      </c>
      <c r="L4" s="4">
        <v>6.7050000000000001</v>
      </c>
      <c r="M4" s="4">
        <v>4.4139999999999997</v>
      </c>
    </row>
    <row r="5" spans="1:14" x14ac:dyDescent="0.35">
      <c r="A5" s="2">
        <v>42826</v>
      </c>
      <c r="B5" s="3">
        <v>15.812165999999999</v>
      </c>
      <c r="C5" s="3">
        <v>20.102758000000001</v>
      </c>
      <c r="D5" s="3">
        <v>13.36</v>
      </c>
      <c r="E5" s="3">
        <v>12.4966545</v>
      </c>
      <c r="F5" s="3">
        <v>2.0352744999999999</v>
      </c>
      <c r="G5" s="3">
        <v>12.95</v>
      </c>
      <c r="H5" s="3">
        <v>2.3511926999999999</v>
      </c>
      <c r="I5" s="3">
        <v>16.526070000000001</v>
      </c>
      <c r="J5" s="3">
        <v>2.9613491999999999</v>
      </c>
      <c r="K5" s="3">
        <v>15.205</v>
      </c>
      <c r="L5" s="3">
        <v>6.6020000000000003</v>
      </c>
      <c r="M5" s="3">
        <v>4.3639999999999999</v>
      </c>
    </row>
    <row r="6" spans="1:14" x14ac:dyDescent="0.35">
      <c r="A6" s="2">
        <v>42856</v>
      </c>
      <c r="B6" s="4">
        <v>15.820786</v>
      </c>
      <c r="C6" s="4">
        <v>21.598272000000001</v>
      </c>
      <c r="D6" s="4">
        <v>14.18</v>
      </c>
      <c r="E6" s="4">
        <v>11.796654</v>
      </c>
      <c r="F6" s="4">
        <v>2.0796947000000001</v>
      </c>
      <c r="G6" s="4">
        <v>13.585000000000001</v>
      </c>
      <c r="H6" s="4">
        <v>2.3339273999999999</v>
      </c>
      <c r="I6" s="4">
        <v>17.277721</v>
      </c>
      <c r="J6" s="4">
        <v>3.199821</v>
      </c>
      <c r="K6" s="4">
        <v>18.079999999999998</v>
      </c>
      <c r="L6" s="4">
        <v>7.0979999999999999</v>
      </c>
      <c r="M6" s="4">
        <v>4.758</v>
      </c>
    </row>
    <row r="7" spans="1:14" x14ac:dyDescent="0.35">
      <c r="A7" s="2">
        <v>42887</v>
      </c>
      <c r="B7" s="3">
        <v>16.166741999999999</v>
      </c>
      <c r="C7" s="3">
        <v>21.970345999999999</v>
      </c>
      <c r="D7" s="3">
        <v>13.73</v>
      </c>
      <c r="E7" s="3">
        <v>11.496655000000001</v>
      </c>
      <c r="F7" s="3">
        <v>2.0673020000000002</v>
      </c>
      <c r="G7" s="3">
        <v>13.215</v>
      </c>
      <c r="H7" s="3">
        <v>2.2800386000000001</v>
      </c>
      <c r="I7" s="3">
        <v>16.547931999999999</v>
      </c>
      <c r="J7" s="3">
        <v>2.798133</v>
      </c>
      <c r="K7" s="3">
        <v>17.445</v>
      </c>
      <c r="L7" s="3">
        <v>6.9329999999999998</v>
      </c>
      <c r="M7" s="3">
        <v>4.6940001999999996</v>
      </c>
    </row>
    <row r="8" spans="1:14" x14ac:dyDescent="0.35">
      <c r="A8" s="2">
        <v>42917</v>
      </c>
      <c r="B8" s="4">
        <v>16.51266</v>
      </c>
      <c r="C8" s="4">
        <v>22.637955000000002</v>
      </c>
      <c r="D8" s="4">
        <v>13.82</v>
      </c>
      <c r="E8" s="4">
        <v>12.209987999999999</v>
      </c>
      <c r="F8" s="4">
        <v>2.0197672999999998</v>
      </c>
      <c r="G8" s="4">
        <v>13.605</v>
      </c>
      <c r="H8" s="4">
        <v>2.2196137999999999</v>
      </c>
      <c r="I8" s="4">
        <v>15.419886999999999</v>
      </c>
      <c r="J8" s="4">
        <v>2.932029</v>
      </c>
      <c r="K8" s="4">
        <v>17.815000000000001</v>
      </c>
      <c r="L8" s="4">
        <v>6.6639999999999997</v>
      </c>
      <c r="M8" s="4">
        <v>4.8239999999999998</v>
      </c>
    </row>
    <row r="9" spans="1:14" x14ac:dyDescent="0.35">
      <c r="A9" s="2">
        <v>42948</v>
      </c>
      <c r="B9" s="3">
        <v>15.300431</v>
      </c>
      <c r="C9" s="3">
        <v>24.301400000000001</v>
      </c>
      <c r="D9" s="3">
        <v>15.08</v>
      </c>
      <c r="E9" s="3">
        <v>12.346653999999999</v>
      </c>
      <c r="F9" s="3">
        <v>1.9330388000000001</v>
      </c>
      <c r="G9" s="3">
        <v>14.02</v>
      </c>
      <c r="H9" s="3">
        <v>2.1665502000000001</v>
      </c>
      <c r="I9" s="3">
        <v>15.444392000000001</v>
      </c>
      <c r="J9" s="3">
        <v>3.1519309999999998</v>
      </c>
      <c r="K9" s="3">
        <v>20.954999999999998</v>
      </c>
      <c r="L9" s="3">
        <v>6.8609999999999998</v>
      </c>
      <c r="M9" s="3">
        <v>5.085</v>
      </c>
    </row>
    <row r="10" spans="1:14" x14ac:dyDescent="0.35">
      <c r="A10" s="2">
        <v>42979</v>
      </c>
      <c r="B10" s="4">
        <v>15.184677000000001</v>
      </c>
      <c r="C10" s="4">
        <v>26.917282</v>
      </c>
      <c r="D10" s="4">
        <v>16.89</v>
      </c>
      <c r="E10" s="4">
        <v>12.316654</v>
      </c>
      <c r="F10" s="4">
        <v>2.1257514999999998</v>
      </c>
      <c r="G10" s="4">
        <v>14.37</v>
      </c>
      <c r="H10" s="4">
        <v>2.1222173999999998</v>
      </c>
      <c r="I10" s="4">
        <v>15.854213</v>
      </c>
      <c r="J10" s="4">
        <v>3.1128376000000002</v>
      </c>
      <c r="K10" s="4">
        <v>19.22</v>
      </c>
      <c r="L10" s="4">
        <v>6.5720000000000001</v>
      </c>
      <c r="M10" s="4">
        <v>5.0949999999999998</v>
      </c>
    </row>
    <row r="11" spans="1:14" x14ac:dyDescent="0.35">
      <c r="A11" s="2">
        <v>43009</v>
      </c>
      <c r="B11" s="3">
        <v>15.145337</v>
      </c>
      <c r="C11" s="3">
        <v>26.739747999999999</v>
      </c>
      <c r="D11" s="3">
        <v>18.23</v>
      </c>
      <c r="E11" s="3">
        <v>15.943317</v>
      </c>
      <c r="F11" s="3">
        <v>2.1468349999999998</v>
      </c>
      <c r="G11" s="3">
        <v>14.51</v>
      </c>
      <c r="H11" s="3">
        <v>1.9355845</v>
      </c>
      <c r="I11" s="3">
        <v>15.753697000000001</v>
      </c>
      <c r="J11" s="3">
        <v>2.9936015999999999</v>
      </c>
      <c r="K11" s="3">
        <v>21.46</v>
      </c>
      <c r="L11" s="3">
        <v>6.9379999999999997</v>
      </c>
      <c r="M11" s="3">
        <v>5.3250000000000002</v>
      </c>
    </row>
    <row r="12" spans="1:14" x14ac:dyDescent="0.35">
      <c r="A12" s="2">
        <v>43040</v>
      </c>
      <c r="B12" s="4">
        <v>10.754752999999999</v>
      </c>
      <c r="C12" s="4">
        <v>27.169105999999999</v>
      </c>
      <c r="D12" s="4">
        <v>17.68</v>
      </c>
      <c r="E12" s="4">
        <v>17.399982000000001</v>
      </c>
      <c r="F12" s="4">
        <v>2.0076513</v>
      </c>
      <c r="G12" s="4">
        <v>14.705</v>
      </c>
      <c r="H12" s="4">
        <v>1.6416135000000001</v>
      </c>
      <c r="I12" s="4">
        <v>15.541969999999999</v>
      </c>
      <c r="J12" s="4">
        <v>2.8782752</v>
      </c>
      <c r="K12" s="4">
        <v>19.25</v>
      </c>
      <c r="L12" s="4">
        <v>6.6719999999999997</v>
      </c>
      <c r="M12" s="4">
        <v>5.4550000000000001</v>
      </c>
    </row>
    <row r="13" spans="1:14" x14ac:dyDescent="0.35">
      <c r="A13" s="2">
        <v>43070</v>
      </c>
      <c r="B13" s="3">
        <v>11.518459</v>
      </c>
      <c r="C13" s="3">
        <v>25.283905000000001</v>
      </c>
      <c r="D13" s="3">
        <v>16.5</v>
      </c>
      <c r="E13" s="3">
        <v>17.783314000000001</v>
      </c>
      <c r="F13" s="3">
        <v>1.9986675</v>
      </c>
      <c r="G13" s="3">
        <v>14.335000000000001</v>
      </c>
      <c r="H13" s="3">
        <v>1.5467404</v>
      </c>
      <c r="I13" s="3">
        <v>14.870336999999999</v>
      </c>
      <c r="J13" s="3">
        <v>2.8196346999999999</v>
      </c>
      <c r="K13" s="3">
        <v>17</v>
      </c>
      <c r="L13" s="3">
        <v>6.46</v>
      </c>
      <c r="M13" s="3">
        <v>5.13</v>
      </c>
    </row>
    <row r="14" spans="1:14" x14ac:dyDescent="0.35">
      <c r="A14" s="2">
        <v>43101</v>
      </c>
      <c r="B14" s="4">
        <v>10.991137999999999</v>
      </c>
      <c r="C14" s="4">
        <v>27.183792</v>
      </c>
      <c r="D14" s="4">
        <v>17.465</v>
      </c>
      <c r="E14" s="4">
        <v>18.559979999999999</v>
      </c>
      <c r="F14" s="4">
        <v>1.9596834999999999</v>
      </c>
      <c r="G14" s="4">
        <v>13.98</v>
      </c>
      <c r="H14" s="4">
        <v>1.5233601000000001</v>
      </c>
      <c r="I14" s="4">
        <v>14.891145</v>
      </c>
      <c r="J14" s="4">
        <v>2.7649032999999998</v>
      </c>
      <c r="K14" s="4">
        <v>16.12</v>
      </c>
      <c r="L14" s="4">
        <v>6.5579999999999998</v>
      </c>
      <c r="M14" s="4">
        <v>5.1100000000000003</v>
      </c>
    </row>
    <row r="15" spans="1:14" x14ac:dyDescent="0.35">
      <c r="A15" s="2">
        <v>43132</v>
      </c>
      <c r="B15" s="3">
        <v>11.915571</v>
      </c>
      <c r="C15" s="3">
        <v>28.433062</v>
      </c>
      <c r="D15" s="3">
        <v>18.05</v>
      </c>
      <c r="E15" s="3">
        <v>20.079979000000002</v>
      </c>
      <c r="F15" s="3">
        <v>1.9464823</v>
      </c>
      <c r="G15" s="3">
        <v>12.875</v>
      </c>
      <c r="H15" s="3">
        <v>1.6154845</v>
      </c>
      <c r="I15" s="3">
        <v>13.838939999999999</v>
      </c>
      <c r="J15" s="3">
        <v>2.6906254000000001</v>
      </c>
      <c r="K15" s="3">
        <v>16.41</v>
      </c>
      <c r="L15" s="3">
        <v>6.0759999999999996</v>
      </c>
      <c r="M15" s="3">
        <v>4.7789999999999999</v>
      </c>
    </row>
    <row r="16" spans="1:14" x14ac:dyDescent="0.35">
      <c r="A16" s="2">
        <v>43160</v>
      </c>
      <c r="B16" s="4">
        <v>11.539021</v>
      </c>
      <c r="C16" s="4">
        <v>29.246770000000001</v>
      </c>
      <c r="D16" s="4">
        <v>17.45</v>
      </c>
      <c r="E16" s="4">
        <v>18.866645999999999</v>
      </c>
      <c r="F16" s="4">
        <v>1.9180081</v>
      </c>
      <c r="G16" s="4">
        <v>13.555</v>
      </c>
      <c r="H16" s="4">
        <v>1.6219714000000001</v>
      </c>
      <c r="I16" s="4">
        <v>14.554399500000001</v>
      </c>
      <c r="J16" s="4">
        <v>3.0180354</v>
      </c>
      <c r="K16" s="4">
        <v>20.059999999999999</v>
      </c>
      <c r="L16" s="4">
        <v>5.9720000000000004</v>
      </c>
      <c r="M16" s="4">
        <v>4.9700002999999997</v>
      </c>
    </row>
    <row r="17" spans="1:13" x14ac:dyDescent="0.35">
      <c r="A17" s="2">
        <v>43191</v>
      </c>
      <c r="B17" s="3">
        <v>10.742837</v>
      </c>
      <c r="C17" s="3">
        <v>30.369126999999999</v>
      </c>
      <c r="D17" s="3">
        <v>19.11</v>
      </c>
      <c r="E17" s="3">
        <v>23.299976000000001</v>
      </c>
      <c r="F17" s="3">
        <v>2.1205509999999999</v>
      </c>
      <c r="G17" s="3">
        <v>14.55</v>
      </c>
      <c r="H17" s="3">
        <v>1.7533224999999999</v>
      </c>
      <c r="I17" s="3">
        <v>15.743423</v>
      </c>
      <c r="J17" s="3">
        <v>3.0063070999999999</v>
      </c>
      <c r="K17" s="3">
        <v>19.875</v>
      </c>
      <c r="L17" s="3">
        <v>6.4160000000000004</v>
      </c>
      <c r="M17" s="3">
        <v>5.2679999999999998</v>
      </c>
    </row>
    <row r="18" spans="1:13" x14ac:dyDescent="0.35">
      <c r="A18" s="2">
        <v>43221</v>
      </c>
      <c r="B18" s="4">
        <v>11.218071999999999</v>
      </c>
      <c r="C18" s="4">
        <v>28.486927000000001</v>
      </c>
      <c r="D18" s="4">
        <v>20.11</v>
      </c>
      <c r="E18" s="4">
        <v>23.206644000000001</v>
      </c>
      <c r="F18" s="4">
        <v>2.1742625000000002</v>
      </c>
      <c r="G18" s="4">
        <v>13.535</v>
      </c>
      <c r="H18" s="4">
        <v>1.6631701000000001</v>
      </c>
      <c r="I18" s="4">
        <v>15.588657</v>
      </c>
      <c r="J18" s="4">
        <v>3.2740990000000001</v>
      </c>
      <c r="K18" s="4">
        <v>19.395</v>
      </c>
      <c r="L18" s="4">
        <v>6.0720000000000001</v>
      </c>
      <c r="M18" s="4">
        <v>4.7030000000000003</v>
      </c>
    </row>
    <row r="19" spans="1:13" x14ac:dyDescent="0.35">
      <c r="A19" s="2">
        <v>43252</v>
      </c>
      <c r="B19" s="3">
        <v>10.603002999999999</v>
      </c>
      <c r="C19" s="3">
        <v>28.794422000000001</v>
      </c>
      <c r="D19" s="3">
        <v>20.440000000000001</v>
      </c>
      <c r="E19" s="3">
        <v>22.399975000000001</v>
      </c>
      <c r="F19" s="3">
        <v>2.3011224000000001</v>
      </c>
      <c r="G19" s="3">
        <v>13.13</v>
      </c>
      <c r="H19" s="3">
        <v>1.7826853</v>
      </c>
      <c r="I19" s="3">
        <v>15.322160999999999</v>
      </c>
      <c r="J19" s="3">
        <v>3.3229663</v>
      </c>
      <c r="K19" s="3">
        <v>19.524999999999999</v>
      </c>
      <c r="L19" s="3">
        <v>6.6239999999999997</v>
      </c>
      <c r="M19" s="3">
        <v>4.7569999999999997</v>
      </c>
    </row>
    <row r="20" spans="1:13" x14ac:dyDescent="0.35">
      <c r="A20" s="2">
        <v>43282</v>
      </c>
      <c r="B20" s="4">
        <v>11.036241</v>
      </c>
      <c r="C20" s="4">
        <v>29.319430000000001</v>
      </c>
      <c r="D20" s="4">
        <v>21.48</v>
      </c>
      <c r="E20" s="4">
        <v>23.539975999999999</v>
      </c>
      <c r="F20" s="4">
        <v>2.4040186000000001</v>
      </c>
      <c r="G20" s="4">
        <v>13.815</v>
      </c>
      <c r="H20" s="4">
        <v>1.667645</v>
      </c>
      <c r="I20" s="4">
        <v>14.013823500000001</v>
      </c>
      <c r="J20" s="4">
        <v>3.4099498000000001</v>
      </c>
      <c r="K20" s="4">
        <v>22.44</v>
      </c>
      <c r="L20" s="4">
        <v>6.65</v>
      </c>
      <c r="M20" s="4">
        <v>4.7699999999999996</v>
      </c>
    </row>
    <row r="21" spans="1:13" x14ac:dyDescent="0.35">
      <c r="A21" s="2">
        <v>43313</v>
      </c>
      <c r="B21" s="3">
        <v>12.004975</v>
      </c>
      <c r="C21" s="3">
        <v>30.267990000000001</v>
      </c>
      <c r="D21" s="3">
        <v>21.8</v>
      </c>
      <c r="E21" s="3">
        <v>24.933308</v>
      </c>
      <c r="F21" s="3">
        <v>2.4752455000000002</v>
      </c>
      <c r="G21" s="3">
        <v>12.63</v>
      </c>
      <c r="H21" s="3">
        <v>1.6008093000000001</v>
      </c>
      <c r="I21" s="3">
        <v>13.997308</v>
      </c>
      <c r="J21" s="3">
        <v>3.2887591999999999</v>
      </c>
      <c r="K21" s="3">
        <v>21.85</v>
      </c>
      <c r="L21" s="3">
        <v>6.4219999999999997</v>
      </c>
      <c r="M21" s="3">
        <v>4.26</v>
      </c>
    </row>
    <row r="22" spans="1:13" x14ac:dyDescent="0.35">
      <c r="A22" s="2">
        <v>43344</v>
      </c>
      <c r="B22" s="4">
        <v>11.650428</v>
      </c>
      <c r="C22" s="4">
        <v>32.518208000000001</v>
      </c>
      <c r="D22" s="4">
        <v>21.59</v>
      </c>
      <c r="E22" s="4">
        <v>23.733307</v>
      </c>
      <c r="F22" s="4">
        <v>2.5775812</v>
      </c>
      <c r="G22" s="4">
        <v>12.664999999999999</v>
      </c>
      <c r="H22" s="4">
        <v>1.7391075</v>
      </c>
      <c r="I22" s="4">
        <v>12.866476</v>
      </c>
      <c r="J22" s="4">
        <v>3.1059961</v>
      </c>
      <c r="K22" s="4">
        <v>21.25</v>
      </c>
      <c r="L22" s="4">
        <v>6.3380000000000001</v>
      </c>
      <c r="M22" s="4">
        <v>4.4119999999999999</v>
      </c>
    </row>
    <row r="23" spans="1:13" x14ac:dyDescent="0.35">
      <c r="A23" s="2">
        <v>43374</v>
      </c>
      <c r="B23" s="3">
        <v>11.073888999999999</v>
      </c>
      <c r="C23" s="3">
        <v>31.176670000000001</v>
      </c>
      <c r="D23" s="3">
        <v>18.594999999999999</v>
      </c>
      <c r="E23" s="3">
        <v>24.253309999999999</v>
      </c>
      <c r="F23" s="3">
        <v>2.3074170000000001</v>
      </c>
      <c r="G23" s="3">
        <v>11.775</v>
      </c>
      <c r="H23" s="3">
        <v>1.6599869</v>
      </c>
      <c r="I23" s="3">
        <v>12.872790999999999</v>
      </c>
      <c r="J23" s="3">
        <v>3.0336728000000002</v>
      </c>
      <c r="K23" s="3">
        <v>17.22</v>
      </c>
      <c r="L23" s="3">
        <v>6.2560000000000002</v>
      </c>
      <c r="M23" s="3">
        <v>4.3339999999999996</v>
      </c>
    </row>
    <row r="24" spans="1:13" x14ac:dyDescent="0.35">
      <c r="A24" s="2">
        <v>43405</v>
      </c>
      <c r="B24" s="4">
        <v>13.184847</v>
      </c>
      <c r="C24" s="4">
        <v>31.941502</v>
      </c>
      <c r="D24" s="4">
        <v>18.41</v>
      </c>
      <c r="E24" s="4">
        <v>23.006640999999998</v>
      </c>
      <c r="F24" s="4">
        <v>2.2882717000000001</v>
      </c>
      <c r="G24" s="4">
        <v>12.42</v>
      </c>
      <c r="H24" s="4">
        <v>1.5522651999999999</v>
      </c>
      <c r="I24" s="4">
        <v>12.344874000000001</v>
      </c>
      <c r="J24" s="4">
        <v>3.017058</v>
      </c>
      <c r="K24" s="4">
        <v>19.065000000000001</v>
      </c>
      <c r="L24" s="4">
        <v>6.59</v>
      </c>
      <c r="M24" s="4">
        <v>4.79</v>
      </c>
    </row>
    <row r="25" spans="1:13" x14ac:dyDescent="0.35">
      <c r="A25" s="2">
        <v>43435</v>
      </c>
      <c r="B25" s="3">
        <v>13.179931</v>
      </c>
      <c r="C25" s="3">
        <v>32.429226</v>
      </c>
      <c r="D25" s="3">
        <v>19.100000000000001</v>
      </c>
      <c r="E25" s="3">
        <v>22.453309999999998</v>
      </c>
      <c r="F25" s="3">
        <v>2.2129690000000002</v>
      </c>
      <c r="G25" s="3">
        <v>12.525</v>
      </c>
      <c r="H25" s="3">
        <v>1.5029404</v>
      </c>
      <c r="I25" s="3">
        <v>12.049149</v>
      </c>
      <c r="J25" s="3">
        <v>2.9799190000000002</v>
      </c>
      <c r="K25" s="3">
        <v>18.965</v>
      </c>
      <c r="L25" s="3">
        <v>7.0179999999999998</v>
      </c>
      <c r="M25" s="3">
        <v>5.0439999999999996</v>
      </c>
    </row>
    <row r="26" spans="1:13" x14ac:dyDescent="0.35">
      <c r="A26" s="2">
        <v>43466</v>
      </c>
      <c r="B26" s="4">
        <v>14.411341</v>
      </c>
      <c r="C26" s="4">
        <v>34.912765999999998</v>
      </c>
      <c r="D26" s="4">
        <v>19.82</v>
      </c>
      <c r="E26" s="4">
        <v>26.713304999999998</v>
      </c>
      <c r="F26" s="4">
        <v>2.4732048999999998</v>
      </c>
      <c r="G26" s="4">
        <v>13.984999999999999</v>
      </c>
      <c r="H26" s="4">
        <v>1.5637053999999999</v>
      </c>
      <c r="I26" s="4">
        <v>13.413016000000001</v>
      </c>
      <c r="J26" s="4">
        <v>3.1177242000000001</v>
      </c>
      <c r="K26" s="4">
        <v>21.64</v>
      </c>
      <c r="L26" s="4">
        <v>7.2</v>
      </c>
      <c r="M26" s="4">
        <v>5.266</v>
      </c>
    </row>
    <row r="27" spans="1:13" x14ac:dyDescent="0.35">
      <c r="A27" s="2">
        <v>43497</v>
      </c>
      <c r="B27" s="3">
        <v>14.635904</v>
      </c>
      <c r="C27" s="3">
        <v>35.458725000000001</v>
      </c>
      <c r="D27" s="3">
        <v>19.52</v>
      </c>
      <c r="E27" s="3">
        <v>28.166637000000001</v>
      </c>
      <c r="F27" s="3">
        <v>2.7483122</v>
      </c>
      <c r="G27" s="3">
        <v>13.25</v>
      </c>
      <c r="H27" s="3">
        <v>1.4542676000000001</v>
      </c>
      <c r="I27" s="3">
        <v>13.882707999999999</v>
      </c>
      <c r="J27" s="3">
        <v>3.1519309999999998</v>
      </c>
      <c r="K27" s="3">
        <v>21.46</v>
      </c>
      <c r="L27" s="3">
        <v>7.3520000000000003</v>
      </c>
      <c r="M27" s="3">
        <v>5.32</v>
      </c>
    </row>
    <row r="28" spans="1:13" x14ac:dyDescent="0.35">
      <c r="A28" s="2">
        <v>43525</v>
      </c>
      <c r="B28" s="4">
        <v>15.002471</v>
      </c>
      <c r="C28" s="4">
        <v>37.552525000000003</v>
      </c>
      <c r="D28" s="4">
        <v>18.23</v>
      </c>
      <c r="E28" s="4">
        <v>31.666633999999998</v>
      </c>
      <c r="F28" s="4">
        <v>2.8577203999999998</v>
      </c>
      <c r="G28" s="4">
        <v>13.28</v>
      </c>
      <c r="H28" s="4">
        <v>1.3252733000000001</v>
      </c>
      <c r="I28" s="4">
        <v>13.774952000000001</v>
      </c>
      <c r="J28" s="4">
        <v>3.4255873999999999</v>
      </c>
      <c r="K28" s="4">
        <v>23.9</v>
      </c>
      <c r="L28" s="4">
        <v>7.8259999999999996</v>
      </c>
      <c r="M28" s="4">
        <v>5.7039999999999997</v>
      </c>
    </row>
    <row r="29" spans="1:13" x14ac:dyDescent="0.35">
      <c r="A29" s="2">
        <v>43556</v>
      </c>
      <c r="B29" s="3">
        <v>16.127064000000001</v>
      </c>
      <c r="C29" s="3">
        <v>37.938274</v>
      </c>
      <c r="D29" s="3">
        <v>18.84</v>
      </c>
      <c r="E29" s="3">
        <v>29.44</v>
      </c>
      <c r="F29" s="3">
        <v>2.9941043999999999</v>
      </c>
      <c r="G29" s="3">
        <v>13.205</v>
      </c>
      <c r="H29" s="3">
        <v>1.2359492000000001</v>
      </c>
      <c r="I29" s="3">
        <v>13.313354</v>
      </c>
      <c r="J29" s="3">
        <v>3.3024420000000001</v>
      </c>
      <c r="K29" s="3">
        <v>22.77</v>
      </c>
      <c r="L29" s="3">
        <v>8.0980000000000008</v>
      </c>
      <c r="M29" s="3">
        <v>5.6390000000000002</v>
      </c>
    </row>
    <row r="30" spans="1:13" x14ac:dyDescent="0.35">
      <c r="A30" s="2">
        <v>43586</v>
      </c>
      <c r="B30" s="4">
        <v>14.673467</v>
      </c>
      <c r="C30" s="4">
        <v>39.646576000000003</v>
      </c>
      <c r="D30" s="4">
        <v>19.13</v>
      </c>
      <c r="E30" s="4">
        <v>30.26</v>
      </c>
      <c r="F30" s="4">
        <v>2.8181151999999998</v>
      </c>
      <c r="G30" s="4">
        <v>12.45</v>
      </c>
      <c r="H30" s="4">
        <v>1.0577700999999999</v>
      </c>
      <c r="I30" s="4">
        <v>12.198513999999999</v>
      </c>
      <c r="J30" s="4">
        <v>3.1851609000000001</v>
      </c>
      <c r="K30" s="4">
        <v>22.36</v>
      </c>
      <c r="L30" s="4">
        <v>8.3140000000000001</v>
      </c>
      <c r="M30" s="4">
        <v>5.57</v>
      </c>
    </row>
    <row r="31" spans="1:13" x14ac:dyDescent="0.35">
      <c r="A31" s="2">
        <v>43617</v>
      </c>
      <c r="B31" s="3">
        <v>15.193547000000001</v>
      </c>
      <c r="C31" s="3">
        <v>42.267620000000001</v>
      </c>
      <c r="D31" s="3">
        <v>19.434999999999999</v>
      </c>
      <c r="E31" s="3">
        <v>29.84</v>
      </c>
      <c r="F31" s="3">
        <v>3.2166809999999999</v>
      </c>
      <c r="G31" s="3">
        <v>13.34</v>
      </c>
      <c r="H31" s="3">
        <v>0.98101159999999998</v>
      </c>
      <c r="I31" s="3">
        <v>12.5392475</v>
      </c>
      <c r="J31" s="3">
        <v>3.2662803999999999</v>
      </c>
      <c r="K31" s="3">
        <v>21.67</v>
      </c>
      <c r="L31" s="3">
        <v>8.766</v>
      </c>
      <c r="M31" s="3">
        <v>6.14</v>
      </c>
    </row>
    <row r="32" spans="1:13" x14ac:dyDescent="0.35">
      <c r="A32" s="2">
        <v>43647</v>
      </c>
      <c r="B32" s="4">
        <v>14.859685000000001</v>
      </c>
      <c r="C32" s="4">
        <v>45.865290000000002</v>
      </c>
      <c r="D32" s="4">
        <v>20.8</v>
      </c>
      <c r="E32" s="4">
        <v>29.99</v>
      </c>
      <c r="F32" s="4">
        <v>3.1996026</v>
      </c>
      <c r="G32" s="4">
        <v>13.92</v>
      </c>
      <c r="H32" s="4">
        <v>0.83668184000000001</v>
      </c>
      <c r="I32" s="4">
        <v>12.102633000000001</v>
      </c>
      <c r="J32" s="4">
        <v>3.2457563999999999</v>
      </c>
      <c r="K32" s="4">
        <v>24.46</v>
      </c>
      <c r="L32" s="4">
        <v>8.57</v>
      </c>
      <c r="M32" s="4">
        <v>6.1989999999999998</v>
      </c>
    </row>
    <row r="33" spans="1:13" x14ac:dyDescent="0.35">
      <c r="A33" s="2">
        <v>43678</v>
      </c>
      <c r="B33" s="3">
        <v>13.371561</v>
      </c>
      <c r="C33" s="3">
        <v>48.288882999999998</v>
      </c>
      <c r="D33" s="3">
        <v>20.010000000000002</v>
      </c>
      <c r="E33" s="3">
        <v>28.64</v>
      </c>
      <c r="F33" s="3">
        <v>2.8426613999999999</v>
      </c>
      <c r="G33" s="3">
        <v>13.824999999999999</v>
      </c>
      <c r="H33" s="3">
        <v>0.77079814999999996</v>
      </c>
      <c r="I33" s="3">
        <v>12.728675000000001</v>
      </c>
      <c r="J33" s="3">
        <v>3.3601052999999999</v>
      </c>
      <c r="K33" s="3">
        <v>25.91</v>
      </c>
      <c r="L33" s="3">
        <v>9.3520000000000003</v>
      </c>
      <c r="M33" s="3">
        <v>6.5940000000000003</v>
      </c>
    </row>
    <row r="34" spans="1:13" x14ac:dyDescent="0.35">
      <c r="A34" s="2">
        <v>43709</v>
      </c>
      <c r="B34" s="4">
        <v>14.245362999999999</v>
      </c>
      <c r="C34" s="4">
        <v>47.389389999999999</v>
      </c>
      <c r="D34" s="4">
        <v>21.69</v>
      </c>
      <c r="E34" s="4">
        <v>30.37</v>
      </c>
      <c r="F34" s="4">
        <v>2.9118826000000002</v>
      </c>
      <c r="G34" s="4">
        <v>14.98</v>
      </c>
      <c r="H34" s="4">
        <v>0.83351500000000001</v>
      </c>
      <c r="I34" s="4">
        <v>14.078423000000001</v>
      </c>
      <c r="J34" s="4">
        <v>3.4812957999999998</v>
      </c>
      <c r="K34" s="4">
        <v>28.69</v>
      </c>
      <c r="L34" s="4">
        <v>9.5359999999999996</v>
      </c>
      <c r="M34" s="4">
        <v>6.851</v>
      </c>
    </row>
    <row r="35" spans="1:13" x14ac:dyDescent="0.35">
      <c r="A35" s="2">
        <v>43739</v>
      </c>
      <c r="B35" s="3">
        <v>14.6399975</v>
      </c>
      <c r="C35" s="3">
        <v>43.720350000000003</v>
      </c>
      <c r="D35" s="3">
        <v>21.89</v>
      </c>
      <c r="E35" s="3">
        <v>32.36</v>
      </c>
      <c r="F35" s="3">
        <v>3.0701938000000002</v>
      </c>
      <c r="G35" s="3">
        <v>14.994999999999999</v>
      </c>
      <c r="H35" s="3">
        <v>0.8415958</v>
      </c>
      <c r="I35" s="3">
        <v>14.886827</v>
      </c>
      <c r="J35" s="3">
        <v>3.6063957000000002</v>
      </c>
      <c r="K35" s="3">
        <v>27.33</v>
      </c>
      <c r="L35" s="3">
        <v>9.2080000000000002</v>
      </c>
      <c r="M35" s="3">
        <v>6.94</v>
      </c>
    </row>
    <row r="36" spans="1:13" x14ac:dyDescent="0.35">
      <c r="A36" s="2">
        <v>43770</v>
      </c>
      <c r="B36" s="4">
        <v>17.275950000000002</v>
      </c>
      <c r="C36" s="4">
        <v>46.492435</v>
      </c>
      <c r="D36" s="4">
        <v>21.39</v>
      </c>
      <c r="E36" s="4">
        <v>30.68</v>
      </c>
      <c r="F36" s="4">
        <v>3.4677962999999998</v>
      </c>
      <c r="G36" s="4">
        <v>14.36</v>
      </c>
      <c r="H36" s="4">
        <v>0.94108990000000003</v>
      </c>
      <c r="I36" s="4">
        <v>15.250771</v>
      </c>
      <c r="J36" s="4">
        <v>3.586849</v>
      </c>
      <c r="K36" s="4">
        <v>26.91</v>
      </c>
      <c r="L36" s="4">
        <v>8.9279995000000003</v>
      </c>
      <c r="M36" s="4">
        <v>6.8559999999999999</v>
      </c>
    </row>
    <row r="37" spans="1:13" x14ac:dyDescent="0.35">
      <c r="A37" s="2">
        <v>43800</v>
      </c>
      <c r="B37" s="3">
        <v>18.022635000000001</v>
      </c>
      <c r="C37" s="3">
        <v>51.260483000000001</v>
      </c>
      <c r="D37" s="3">
        <v>22</v>
      </c>
      <c r="E37" s="3">
        <v>31.02</v>
      </c>
      <c r="F37" s="3">
        <v>3.888687</v>
      </c>
      <c r="G37" s="3">
        <v>14.4</v>
      </c>
      <c r="H37" s="3">
        <v>1.0538992</v>
      </c>
      <c r="I37" s="3">
        <v>16.976863999999999</v>
      </c>
      <c r="J37" s="3">
        <v>3.7764535000000001</v>
      </c>
      <c r="K37" s="3">
        <v>27.35</v>
      </c>
      <c r="L37" s="3">
        <v>9.18</v>
      </c>
      <c r="M37" s="3">
        <v>7.0720000000000001</v>
      </c>
    </row>
    <row r="38" spans="1:13" x14ac:dyDescent="0.35">
      <c r="A38" s="2">
        <v>43831</v>
      </c>
      <c r="B38" s="4">
        <v>18.006202999999999</v>
      </c>
      <c r="C38" s="4">
        <v>54.739809999999999</v>
      </c>
      <c r="D38" s="4">
        <v>21.86</v>
      </c>
      <c r="E38" s="4">
        <v>35.880000000000003</v>
      </c>
      <c r="F38" s="4">
        <v>3.9109487999999999</v>
      </c>
      <c r="G38" s="4">
        <v>15.56</v>
      </c>
      <c r="H38" s="4">
        <v>1.0091687</v>
      </c>
      <c r="I38" s="4">
        <v>17.943553999999999</v>
      </c>
      <c r="J38" s="4">
        <v>4.4215</v>
      </c>
      <c r="K38" s="4">
        <v>31.34</v>
      </c>
      <c r="L38" s="4">
        <v>9.8699999999999992</v>
      </c>
      <c r="M38" s="4">
        <v>7.8550000000000004</v>
      </c>
    </row>
    <row r="39" spans="1:13" x14ac:dyDescent="0.35">
      <c r="A39" s="2">
        <v>43862</v>
      </c>
      <c r="B39" s="3">
        <v>17.380087</v>
      </c>
      <c r="C39" s="3">
        <v>51.720610000000001</v>
      </c>
      <c r="D39" s="3">
        <v>19.28</v>
      </c>
      <c r="E39" s="3">
        <v>35.659999999999997</v>
      </c>
      <c r="F39" s="3">
        <v>3.6480299999999999</v>
      </c>
      <c r="G39" s="3">
        <v>15.03</v>
      </c>
      <c r="H39" s="3">
        <v>0.83862599999999998</v>
      </c>
      <c r="I39" s="3">
        <v>17.779523999999999</v>
      </c>
      <c r="J39" s="3">
        <v>4.1243873000000004</v>
      </c>
      <c r="K39" s="3">
        <v>31.16</v>
      </c>
      <c r="L39" s="3">
        <v>10.32</v>
      </c>
      <c r="M39" s="3">
        <v>7.5759999999999996</v>
      </c>
    </row>
    <row r="40" spans="1:13" x14ac:dyDescent="0.35">
      <c r="A40" s="2">
        <v>43891</v>
      </c>
      <c r="B40" s="4">
        <v>14.810689999999999</v>
      </c>
      <c r="C40" s="4">
        <v>49.635080000000002</v>
      </c>
      <c r="D40" s="4">
        <v>13.375</v>
      </c>
      <c r="E40" s="4">
        <v>30.85</v>
      </c>
      <c r="F40" s="4">
        <v>3.3252928000000002</v>
      </c>
      <c r="G40" s="4">
        <v>9.4120000000000008</v>
      </c>
      <c r="H40" s="4">
        <v>0.43032399999999998</v>
      </c>
      <c r="I40" s="4">
        <v>14.747185</v>
      </c>
      <c r="J40" s="4">
        <v>3.5751206999999998</v>
      </c>
      <c r="K40" s="4">
        <v>23.96</v>
      </c>
      <c r="L40" s="4">
        <v>8.984</v>
      </c>
      <c r="M40" s="4">
        <v>6.3389996999999996</v>
      </c>
    </row>
    <row r="41" spans="1:13" x14ac:dyDescent="0.35">
      <c r="A41" s="2">
        <v>43922</v>
      </c>
      <c r="B41" s="3">
        <v>15.71644</v>
      </c>
      <c r="C41" s="3">
        <v>51.290688000000003</v>
      </c>
      <c r="D41" s="3">
        <v>15.15</v>
      </c>
      <c r="E41" s="3">
        <v>32.33</v>
      </c>
      <c r="F41" s="3">
        <v>4.2729892999999999</v>
      </c>
      <c r="G41" s="3">
        <v>9.9039999999999999</v>
      </c>
      <c r="H41" s="3">
        <v>0.45948929999999999</v>
      </c>
      <c r="I41" s="3">
        <v>14.395028</v>
      </c>
      <c r="J41" s="3">
        <v>3.7627706999999999</v>
      </c>
      <c r="K41" s="3">
        <v>26.24</v>
      </c>
      <c r="L41" s="3">
        <v>9.14</v>
      </c>
      <c r="M41" s="3">
        <v>6.2359999999999998</v>
      </c>
    </row>
    <row r="42" spans="1:13" x14ac:dyDescent="0.35">
      <c r="A42" s="2">
        <v>43952</v>
      </c>
      <c r="B42" s="4">
        <v>18.348368000000001</v>
      </c>
      <c r="C42" s="4">
        <v>58.670802999999999</v>
      </c>
      <c r="D42" s="4">
        <v>17.22</v>
      </c>
      <c r="E42" s="4">
        <v>36.32</v>
      </c>
      <c r="F42" s="4">
        <v>4.9873513999999997</v>
      </c>
      <c r="G42" s="4">
        <v>10.635</v>
      </c>
      <c r="H42" s="4">
        <v>0.40589449999999999</v>
      </c>
      <c r="I42" s="4">
        <v>13.798411</v>
      </c>
      <c r="J42" s="4">
        <v>4.1273200000000001</v>
      </c>
      <c r="K42" s="4">
        <v>29.79</v>
      </c>
      <c r="L42" s="4">
        <v>9.6880000000000006</v>
      </c>
      <c r="M42" s="4">
        <v>6.9009999999999998</v>
      </c>
    </row>
    <row r="43" spans="1:13" x14ac:dyDescent="0.35">
      <c r="A43" s="2">
        <v>43983</v>
      </c>
      <c r="B43" s="3">
        <v>18.123837999999999</v>
      </c>
      <c r="C43" s="3">
        <v>57.077755000000003</v>
      </c>
      <c r="D43" s="3">
        <v>16.905000000000001</v>
      </c>
      <c r="E43" s="3">
        <v>34.81</v>
      </c>
      <c r="F43" s="3">
        <v>4.9192486000000004</v>
      </c>
      <c r="G43" s="3">
        <v>11</v>
      </c>
      <c r="H43" s="3">
        <v>0.42398632000000003</v>
      </c>
      <c r="I43" s="3">
        <v>15.011141</v>
      </c>
      <c r="J43" s="3">
        <v>4.153708</v>
      </c>
      <c r="K43" s="3">
        <v>31.11</v>
      </c>
      <c r="L43" s="3">
        <v>10.32</v>
      </c>
      <c r="M43" s="3">
        <v>7.6779999999999999</v>
      </c>
    </row>
    <row r="44" spans="1:13" x14ac:dyDescent="0.35">
      <c r="A44" s="2">
        <v>44013</v>
      </c>
      <c r="B44" s="4">
        <v>21.798693</v>
      </c>
      <c r="C44" s="4">
        <v>67.235016000000002</v>
      </c>
      <c r="D44" s="4">
        <v>17.22</v>
      </c>
      <c r="E44" s="4">
        <v>38.880000000000003</v>
      </c>
      <c r="F44" s="4">
        <v>5.0775065000000001</v>
      </c>
      <c r="G44" s="4">
        <v>11.29</v>
      </c>
      <c r="H44" s="4">
        <v>0.54131602999999995</v>
      </c>
      <c r="I44" s="4">
        <v>14.440275</v>
      </c>
      <c r="J44" s="4">
        <v>4.2850000000000001</v>
      </c>
      <c r="K44" s="4">
        <v>31.98</v>
      </c>
      <c r="L44" s="4">
        <v>10.92</v>
      </c>
      <c r="M44" s="4">
        <v>7.7290000000000001</v>
      </c>
    </row>
    <row r="45" spans="1:13" x14ac:dyDescent="0.35">
      <c r="A45" s="2">
        <v>44044</v>
      </c>
      <c r="B45" s="3">
        <v>25.479659999999999</v>
      </c>
      <c r="C45" s="3">
        <v>65.895424000000006</v>
      </c>
      <c r="D45" s="3">
        <v>17.715</v>
      </c>
      <c r="E45" s="3">
        <v>44.81</v>
      </c>
      <c r="F45" s="3">
        <v>5.8894760000000002</v>
      </c>
      <c r="G45" s="3">
        <v>11.654999999999999</v>
      </c>
      <c r="H45" s="3">
        <v>0.51585080000000005</v>
      </c>
      <c r="I45" s="3">
        <v>14.106346</v>
      </c>
      <c r="J45" s="3">
        <v>4.242</v>
      </c>
      <c r="K45" s="3">
        <v>33.299999999999997</v>
      </c>
      <c r="L45" s="3">
        <v>10.55</v>
      </c>
      <c r="M45" s="3">
        <v>7.5889996999999996</v>
      </c>
    </row>
    <row r="46" spans="1:13" x14ac:dyDescent="0.35">
      <c r="A46" s="2">
        <v>44075</v>
      </c>
      <c r="B46" s="4">
        <v>27.674448000000002</v>
      </c>
      <c r="C46" s="4">
        <v>65.363845999999995</v>
      </c>
      <c r="D46" s="4">
        <v>17.274999999999999</v>
      </c>
      <c r="E46" s="4">
        <v>44.97</v>
      </c>
      <c r="F46" s="4">
        <v>5.5048884999999999</v>
      </c>
      <c r="G46" s="4">
        <v>11.42</v>
      </c>
      <c r="H46" s="4">
        <v>0.44197634000000002</v>
      </c>
      <c r="I46" s="4">
        <v>13.317719</v>
      </c>
      <c r="J46" s="4">
        <v>4.1950000000000003</v>
      </c>
      <c r="K46" s="4">
        <v>31.98</v>
      </c>
      <c r="L46" s="4">
        <v>10.51</v>
      </c>
      <c r="M46" s="4">
        <v>7.4180000000000001</v>
      </c>
    </row>
    <row r="47" spans="1:13" x14ac:dyDescent="0.35">
      <c r="A47" s="2">
        <v>44105</v>
      </c>
      <c r="B47" s="3">
        <v>29.307941</v>
      </c>
      <c r="C47" s="3">
        <v>75.735929999999996</v>
      </c>
      <c r="D47" s="3">
        <v>16.149999999999999</v>
      </c>
      <c r="E47" s="3">
        <v>44.68</v>
      </c>
      <c r="F47" s="3">
        <v>5.1743240000000004</v>
      </c>
      <c r="G47" s="3">
        <v>10.385</v>
      </c>
      <c r="H47" s="3">
        <v>0.41270328000000001</v>
      </c>
      <c r="I47" s="3">
        <v>13.930678</v>
      </c>
      <c r="J47" s="3">
        <v>4.2320000000000002</v>
      </c>
      <c r="K47" s="3">
        <v>31.79</v>
      </c>
      <c r="L47" s="3">
        <v>10.125</v>
      </c>
      <c r="M47" s="3">
        <v>6.8339999999999996</v>
      </c>
    </row>
    <row r="48" spans="1:13" x14ac:dyDescent="0.35">
      <c r="A48" s="2">
        <v>44136</v>
      </c>
      <c r="B48" s="4">
        <v>34.272185999999998</v>
      </c>
      <c r="C48" s="4">
        <v>83.929940000000002</v>
      </c>
      <c r="D48" s="4">
        <v>19.204999999999998</v>
      </c>
      <c r="E48" s="4">
        <v>56.18</v>
      </c>
      <c r="F48" s="4">
        <v>5.9058130000000002</v>
      </c>
      <c r="G48" s="4">
        <v>12.37</v>
      </c>
      <c r="H48" s="4">
        <v>0.49241266</v>
      </c>
      <c r="I48" s="4">
        <v>14.966578</v>
      </c>
      <c r="J48" s="4">
        <v>4.468</v>
      </c>
      <c r="K48" s="4">
        <v>34.770000000000003</v>
      </c>
      <c r="L48" s="4">
        <v>11.445</v>
      </c>
      <c r="M48" s="4">
        <v>8.3699999999999992</v>
      </c>
    </row>
    <row r="49" spans="1:13" x14ac:dyDescent="0.35">
      <c r="A49" s="2">
        <v>44166</v>
      </c>
      <c r="B49" s="3">
        <v>38.701897000000002</v>
      </c>
      <c r="C49" s="3">
        <v>92.908550000000005</v>
      </c>
      <c r="D49" s="3">
        <v>19.7</v>
      </c>
      <c r="E49" s="3">
        <v>59.16</v>
      </c>
      <c r="F49" s="3">
        <v>6.6966204999999999</v>
      </c>
      <c r="G49" s="3">
        <v>12.52</v>
      </c>
      <c r="H49" s="3">
        <v>0.52061519999999994</v>
      </c>
      <c r="I49" s="3">
        <v>16.757999999999999</v>
      </c>
      <c r="J49" s="3">
        <v>5.1559999999999997</v>
      </c>
      <c r="K49" s="3">
        <v>34.57</v>
      </c>
      <c r="L49" s="3">
        <v>11.7</v>
      </c>
      <c r="M49" s="3">
        <v>8.2759999999999998</v>
      </c>
    </row>
    <row r="50" spans="1:13" x14ac:dyDescent="0.35">
      <c r="A50" s="2">
        <v>44197</v>
      </c>
      <c r="B50" s="4">
        <v>35.871699999999997</v>
      </c>
      <c r="C50" s="4">
        <v>87.207989999999995</v>
      </c>
      <c r="D50" s="4">
        <v>19.984999999999999</v>
      </c>
      <c r="E50" s="4">
        <v>58.28</v>
      </c>
      <c r="F50" s="4">
        <v>6.9041085000000004</v>
      </c>
      <c r="G50" s="4">
        <v>12.82</v>
      </c>
      <c r="H50" s="4">
        <v>0.58526869999999998</v>
      </c>
      <c r="I50" s="4">
        <v>16.773634000000001</v>
      </c>
      <c r="J50" s="4">
        <v>5.1719999999999997</v>
      </c>
      <c r="K50" s="4">
        <v>35.46</v>
      </c>
      <c r="L50" s="4">
        <v>11.185</v>
      </c>
      <c r="M50" s="4">
        <v>8.1910000000000007</v>
      </c>
    </row>
    <row r="51" spans="1:13" x14ac:dyDescent="0.35">
      <c r="A51" s="2">
        <v>44228</v>
      </c>
      <c r="B51" s="3">
        <v>31.051468</v>
      </c>
      <c r="C51" s="3">
        <v>74.594710000000006</v>
      </c>
      <c r="D51" s="3">
        <v>20.69</v>
      </c>
      <c r="E51" s="3">
        <v>54.46</v>
      </c>
      <c r="F51" s="3">
        <v>6.5049752999999999</v>
      </c>
      <c r="G51" s="3">
        <v>12.085000000000001</v>
      </c>
      <c r="H51" s="3">
        <v>0.60770930000000001</v>
      </c>
      <c r="I51" s="3">
        <v>15.256084</v>
      </c>
      <c r="J51" s="3">
        <v>4.7460000000000004</v>
      </c>
      <c r="K51" s="3">
        <v>31.34</v>
      </c>
      <c r="L51" s="3">
        <v>10.425000000000001</v>
      </c>
      <c r="M51" s="3">
        <v>7.8440000000000003</v>
      </c>
    </row>
    <row r="52" spans="1:13" x14ac:dyDescent="0.35">
      <c r="A52" s="2">
        <v>44256</v>
      </c>
      <c r="B52" s="4">
        <v>35.012990000000002</v>
      </c>
      <c r="C52" s="4">
        <v>76.563095000000004</v>
      </c>
      <c r="D52" s="4">
        <v>22.76</v>
      </c>
      <c r="E52" s="4">
        <v>45.26</v>
      </c>
      <c r="F52" s="4">
        <v>6.6085739999999999</v>
      </c>
      <c r="G52" s="4">
        <v>12.105</v>
      </c>
      <c r="H52" s="4">
        <v>0.63555660000000003</v>
      </c>
      <c r="I52" s="4">
        <v>17.080437</v>
      </c>
      <c r="J52" s="4">
        <v>4.87</v>
      </c>
      <c r="K52" s="4">
        <v>33.42</v>
      </c>
      <c r="L52" s="4">
        <v>10.984999999999999</v>
      </c>
      <c r="M52" s="4">
        <v>8.4930000000000003</v>
      </c>
    </row>
    <row r="53" spans="1:13" x14ac:dyDescent="0.35">
      <c r="A53" s="2">
        <v>44287</v>
      </c>
      <c r="B53" s="3">
        <v>34.723059999999997</v>
      </c>
      <c r="C53" s="3">
        <v>67.43477</v>
      </c>
      <c r="D53" s="3">
        <v>21.85</v>
      </c>
      <c r="E53" s="3">
        <v>50.4</v>
      </c>
      <c r="F53" s="3">
        <v>7.608778</v>
      </c>
      <c r="G53" s="3">
        <v>12.37</v>
      </c>
      <c r="H53" s="3">
        <v>0.6516748</v>
      </c>
      <c r="I53" s="3">
        <v>16.884194999999998</v>
      </c>
      <c r="J53" s="3">
        <v>4.6219996999999999</v>
      </c>
      <c r="K53" s="3">
        <v>31.54</v>
      </c>
      <c r="L53" s="3">
        <v>11.234999999999999</v>
      </c>
      <c r="M53" s="3">
        <v>8.2669999999999995</v>
      </c>
    </row>
    <row r="54" spans="1:13" x14ac:dyDescent="0.35">
      <c r="A54" s="2">
        <v>44317</v>
      </c>
      <c r="B54" s="4">
        <v>31.83943</v>
      </c>
      <c r="C54" s="4">
        <v>68.962100000000007</v>
      </c>
      <c r="D54" s="4">
        <v>23.31</v>
      </c>
      <c r="E54" s="4">
        <v>53.9</v>
      </c>
      <c r="F54" s="4">
        <v>8.8987879999999997</v>
      </c>
      <c r="G54" s="4">
        <v>12.15</v>
      </c>
      <c r="H54" s="4">
        <v>0.636208</v>
      </c>
      <c r="I54" s="4">
        <v>17.94791</v>
      </c>
      <c r="J54" s="4">
        <v>4.7050000000000001</v>
      </c>
      <c r="K54" s="4">
        <v>30.85</v>
      </c>
      <c r="L54" s="4">
        <v>10.994999999999999</v>
      </c>
      <c r="M54" s="4">
        <v>8.0559999999999992</v>
      </c>
    </row>
    <row r="55" spans="1:13" x14ac:dyDescent="0.35">
      <c r="A55" s="2">
        <v>44348</v>
      </c>
      <c r="B55" s="3">
        <v>32.919837999999999</v>
      </c>
      <c r="C55" s="3">
        <v>65.773094</v>
      </c>
      <c r="D55" s="3">
        <v>23.26</v>
      </c>
      <c r="E55" s="3">
        <v>51.64</v>
      </c>
      <c r="F55" s="3">
        <v>8.875966</v>
      </c>
      <c r="G55" s="3">
        <v>11.554</v>
      </c>
      <c r="H55" s="3">
        <v>0.59945539999999997</v>
      </c>
      <c r="I55" s="3">
        <v>17.479263</v>
      </c>
      <c r="J55" s="3">
        <v>4.47</v>
      </c>
      <c r="K55" s="3">
        <v>30.56</v>
      </c>
      <c r="L55" s="3">
        <v>10.28</v>
      </c>
      <c r="M55" s="3">
        <v>7.8319999999999999</v>
      </c>
    </row>
    <row r="56" spans="1:13" x14ac:dyDescent="0.35">
      <c r="A56" s="2">
        <v>44378</v>
      </c>
      <c r="B56" s="4">
        <v>31.08193</v>
      </c>
      <c r="C56" s="4">
        <v>69.594620000000006</v>
      </c>
      <c r="D56" s="4">
        <v>23.24</v>
      </c>
      <c r="E56" s="4">
        <v>51.82</v>
      </c>
      <c r="F56" s="4">
        <v>10.075723</v>
      </c>
      <c r="G56" s="4">
        <v>11.252000000000001</v>
      </c>
      <c r="H56" s="4">
        <v>0.53313553000000002</v>
      </c>
      <c r="I56" s="4">
        <v>16.94848</v>
      </c>
      <c r="J56" s="4">
        <v>4.3769999999999998</v>
      </c>
      <c r="K56" s="4">
        <v>30.01</v>
      </c>
      <c r="L56" s="4">
        <v>10.16</v>
      </c>
      <c r="M56" s="4">
        <v>7.7799997000000003</v>
      </c>
    </row>
    <row r="57" spans="1:13" x14ac:dyDescent="0.35">
      <c r="A57" s="2">
        <v>44409</v>
      </c>
      <c r="B57" s="3">
        <v>34.19547</v>
      </c>
      <c r="C57" s="3">
        <v>74.812740000000005</v>
      </c>
      <c r="D57" s="3">
        <v>25.72</v>
      </c>
      <c r="E57" s="3">
        <v>51.54</v>
      </c>
      <c r="F57" s="3">
        <v>11.797015999999999</v>
      </c>
      <c r="G57" s="3">
        <v>12.132</v>
      </c>
      <c r="H57" s="3">
        <v>0.60578549999999998</v>
      </c>
      <c r="I57" s="3">
        <v>19.032812</v>
      </c>
      <c r="J57" s="3">
        <v>4.6520000000000001</v>
      </c>
      <c r="K57" s="3">
        <v>33.090000000000003</v>
      </c>
      <c r="L57" s="3">
        <v>10.494999999999999</v>
      </c>
      <c r="M57" s="3">
        <v>7.7169999999999996</v>
      </c>
    </row>
    <row r="58" spans="1:13" x14ac:dyDescent="0.35">
      <c r="A58" s="2">
        <v>44440</v>
      </c>
      <c r="B58" s="4">
        <v>34.629116000000003</v>
      </c>
      <c r="C58" s="4">
        <v>63.443752000000003</v>
      </c>
      <c r="D58" s="4">
        <v>26.29</v>
      </c>
      <c r="E58" s="4">
        <v>48.97</v>
      </c>
      <c r="F58" s="4">
        <v>10.913163000000001</v>
      </c>
      <c r="G58" s="4">
        <v>11.342000000000001</v>
      </c>
      <c r="H58" s="4">
        <v>0.65942860000000003</v>
      </c>
      <c r="I58" s="4">
        <v>18.277387999999998</v>
      </c>
      <c r="J58" s="4">
        <v>4.5350000000000001</v>
      </c>
      <c r="K58" s="4">
        <v>30.55</v>
      </c>
      <c r="L58" s="4">
        <v>8.6839999999999993</v>
      </c>
      <c r="M58" s="4">
        <v>6.6509999999999998</v>
      </c>
    </row>
    <row r="59" spans="1:13" x14ac:dyDescent="0.35">
      <c r="A59" s="2">
        <v>44470</v>
      </c>
      <c r="B59" s="3">
        <v>37.409897000000001</v>
      </c>
      <c r="C59" s="3">
        <v>67.838849999999994</v>
      </c>
      <c r="D59" s="3">
        <v>25.7</v>
      </c>
      <c r="E59" s="3">
        <v>48.19</v>
      </c>
      <c r="F59" s="3">
        <v>12.863413</v>
      </c>
      <c r="G59" s="3">
        <v>12.295999999999999</v>
      </c>
      <c r="H59" s="3">
        <v>0.7144838</v>
      </c>
      <c r="I59" s="3">
        <v>19.467075000000001</v>
      </c>
      <c r="J59" s="3">
        <v>4.8840000000000003</v>
      </c>
      <c r="K59" s="3">
        <v>33.270000000000003</v>
      </c>
      <c r="L59" s="3">
        <v>10.215</v>
      </c>
      <c r="M59" s="3">
        <v>7.2359999999999998</v>
      </c>
    </row>
    <row r="60" spans="1:13" x14ac:dyDescent="0.35">
      <c r="A60" s="2">
        <v>44501</v>
      </c>
      <c r="B60" s="4">
        <v>29.581786999999998</v>
      </c>
      <c r="C60" s="4">
        <v>63.135689999999997</v>
      </c>
      <c r="D60" s="4">
        <v>25.41</v>
      </c>
      <c r="E60" s="4">
        <v>41.77</v>
      </c>
      <c r="F60" s="4">
        <v>12.629127</v>
      </c>
      <c r="G60" s="4">
        <v>12.81</v>
      </c>
      <c r="H60" s="4">
        <v>0.76140669999999999</v>
      </c>
      <c r="I60" s="4">
        <v>18.241790000000002</v>
      </c>
      <c r="J60" s="4">
        <v>4.8339999999999996</v>
      </c>
      <c r="K60" s="4">
        <v>34.15</v>
      </c>
      <c r="L60" s="4">
        <v>9.9039999999999999</v>
      </c>
      <c r="M60" s="4">
        <v>6.7069999999999999</v>
      </c>
    </row>
    <row r="61" spans="1:13" x14ac:dyDescent="0.35">
      <c r="A61" s="2">
        <v>44531</v>
      </c>
      <c r="B61" s="3">
        <v>26.895063</v>
      </c>
      <c r="C61" s="3">
        <v>62.424114000000003</v>
      </c>
      <c r="D61" s="3">
        <v>26.99</v>
      </c>
      <c r="E61" s="3">
        <v>43.36</v>
      </c>
      <c r="F61" s="3">
        <v>13.340033</v>
      </c>
      <c r="G61" s="3">
        <v>13.013999999999999</v>
      </c>
      <c r="H61" s="3">
        <v>0.85159320000000005</v>
      </c>
      <c r="I61" s="3">
        <v>19.640239999999999</v>
      </c>
      <c r="J61" s="3">
        <v>4.8319999999999999</v>
      </c>
      <c r="K61" s="3">
        <v>35.72</v>
      </c>
      <c r="L61" s="3">
        <v>10.41</v>
      </c>
      <c r="M61" s="3">
        <v>7.0460000000000003</v>
      </c>
    </row>
    <row r="62" spans="1:13" x14ac:dyDescent="0.35">
      <c r="A62" s="2">
        <v>44562</v>
      </c>
      <c r="B62" s="4">
        <v>23.78228</v>
      </c>
      <c r="C62" s="4">
        <v>52.215496000000002</v>
      </c>
      <c r="D62" s="4">
        <v>24.05</v>
      </c>
      <c r="E62" s="4">
        <v>39.770000000000003</v>
      </c>
      <c r="F62" s="4">
        <v>8.3681160000000006</v>
      </c>
      <c r="G62" s="4">
        <v>13.554</v>
      </c>
      <c r="H62" s="4">
        <v>0.86554973999999996</v>
      </c>
      <c r="I62" s="4">
        <v>18.939883999999999</v>
      </c>
      <c r="J62" s="4">
        <v>4.5389999999999997</v>
      </c>
      <c r="K62" s="4">
        <v>37.31</v>
      </c>
      <c r="L62" s="4">
        <v>10.16</v>
      </c>
      <c r="M62" s="4">
        <v>6.7809999999999997</v>
      </c>
    </row>
    <row r="63" spans="1:13" x14ac:dyDescent="0.35">
      <c r="A63" s="2">
        <v>44593</v>
      </c>
      <c r="B63" s="3">
        <v>29.23997</v>
      </c>
      <c r="C63" s="3">
        <v>64.348879999999994</v>
      </c>
      <c r="D63" s="3">
        <v>18.84</v>
      </c>
      <c r="E63" s="3">
        <v>35.18</v>
      </c>
      <c r="F63" s="3">
        <v>8.0105749999999993</v>
      </c>
      <c r="G63" s="3">
        <v>14.268000000000001</v>
      </c>
      <c r="H63" s="3">
        <v>0.92316984999999996</v>
      </c>
      <c r="I63" s="3">
        <v>20.361581999999999</v>
      </c>
      <c r="J63" s="3">
        <v>4.3639999999999999</v>
      </c>
      <c r="K63" s="3">
        <v>41.49</v>
      </c>
      <c r="L63" s="3">
        <v>10.18</v>
      </c>
      <c r="M63" s="3">
        <v>6.5990000000000002</v>
      </c>
    </row>
    <row r="64" spans="1:13" x14ac:dyDescent="0.35">
      <c r="A64" s="2">
        <v>44621</v>
      </c>
      <c r="B64" s="4">
        <v>26.853697</v>
      </c>
      <c r="C64" s="4">
        <v>63.452190000000002</v>
      </c>
      <c r="D64" s="4">
        <v>16.53</v>
      </c>
      <c r="E64" s="4">
        <v>41.48</v>
      </c>
      <c r="F64" s="4">
        <v>10.130936</v>
      </c>
      <c r="G64" s="4">
        <v>11.933999999999999</v>
      </c>
      <c r="H64" s="4">
        <v>0.94762354999999998</v>
      </c>
      <c r="I64" s="4">
        <v>20.690805000000001</v>
      </c>
      <c r="J64" s="4">
        <v>4.4649999999999999</v>
      </c>
      <c r="K64" s="4">
        <v>39.53</v>
      </c>
      <c r="L64" s="4">
        <v>9.92</v>
      </c>
      <c r="M64" s="4">
        <v>6.0679999999999996</v>
      </c>
    </row>
    <row r="65" spans="1:13" x14ac:dyDescent="0.35">
      <c r="A65" s="2">
        <v>44652</v>
      </c>
      <c r="B65" s="3">
        <v>24.576647000000001</v>
      </c>
      <c r="C65" s="3">
        <v>59.242947000000001</v>
      </c>
      <c r="D65" s="3">
        <v>15.9</v>
      </c>
      <c r="E65" s="3">
        <v>41.2</v>
      </c>
      <c r="F65" s="3">
        <v>9.4313549999999999</v>
      </c>
      <c r="G65" s="3">
        <v>11.321999999999999</v>
      </c>
      <c r="H65" s="3">
        <v>0.94565650000000001</v>
      </c>
      <c r="I65" s="3">
        <v>22.237089999999998</v>
      </c>
      <c r="J65" s="3">
        <v>4.4420000000000002</v>
      </c>
      <c r="K65" s="3">
        <v>39.590000000000003</v>
      </c>
      <c r="L65" s="3">
        <v>11.01</v>
      </c>
      <c r="M65" s="3">
        <v>6.218</v>
      </c>
    </row>
    <row r="66" spans="1:13" x14ac:dyDescent="0.35">
      <c r="A66" s="2">
        <v>44682</v>
      </c>
      <c r="B66" s="4">
        <v>23.799097</v>
      </c>
      <c r="C66" s="4">
        <v>58.584964999999997</v>
      </c>
      <c r="D66" s="4">
        <v>17.2</v>
      </c>
      <c r="E66" s="4">
        <v>42.71</v>
      </c>
      <c r="F66" s="4">
        <v>8.1196579999999994</v>
      </c>
      <c r="G66" s="4">
        <v>12.496</v>
      </c>
      <c r="H66" s="4">
        <v>0.93153379999999997</v>
      </c>
      <c r="I66" s="4">
        <v>20.847156999999999</v>
      </c>
      <c r="J66" s="4">
        <v>4.6719999999999997</v>
      </c>
      <c r="K66" s="4">
        <v>41</v>
      </c>
      <c r="L66" s="4">
        <v>11.035</v>
      </c>
      <c r="M66" s="4">
        <v>6.0439999999999996</v>
      </c>
    </row>
    <row r="67" spans="1:13" x14ac:dyDescent="0.35">
      <c r="A67" s="2">
        <v>44713</v>
      </c>
      <c r="B67" s="3">
        <v>20.156921000000001</v>
      </c>
      <c r="C67" s="3">
        <v>55.448174000000002</v>
      </c>
      <c r="D67" s="3">
        <v>14.315</v>
      </c>
      <c r="E67" s="3">
        <v>42.24</v>
      </c>
      <c r="F67" s="3">
        <v>7.1687640000000004</v>
      </c>
      <c r="G67" s="3">
        <v>10.965999999999999</v>
      </c>
      <c r="H67" s="3">
        <v>0.92932236000000001</v>
      </c>
      <c r="I67" s="3">
        <v>18.772310000000001</v>
      </c>
      <c r="J67" s="3">
        <v>4.452</v>
      </c>
      <c r="K67" s="3">
        <v>35.08</v>
      </c>
      <c r="L67" s="3">
        <v>9.8960000000000008</v>
      </c>
      <c r="M67" s="3">
        <v>5.22</v>
      </c>
    </row>
    <row r="68" spans="1:13" x14ac:dyDescent="0.35">
      <c r="A68" s="2">
        <v>44743</v>
      </c>
      <c r="B68" s="4">
        <v>25.457563</v>
      </c>
      <c r="C68" s="4">
        <v>63.124836000000002</v>
      </c>
      <c r="D68" s="4">
        <v>10.914999999999999</v>
      </c>
      <c r="E68" s="4">
        <v>50.08</v>
      </c>
      <c r="F68" s="4">
        <v>9.7927129999999991</v>
      </c>
      <c r="G68" s="4">
        <v>12.06</v>
      </c>
      <c r="H68" s="4">
        <v>1.0466545</v>
      </c>
      <c r="I68" s="4">
        <v>21.100172000000001</v>
      </c>
      <c r="J68" s="4">
        <v>4.9390000000000001</v>
      </c>
      <c r="K68" s="4">
        <v>40.18</v>
      </c>
      <c r="L68" s="4">
        <v>10.43</v>
      </c>
      <c r="M68" s="4">
        <v>4.9089999999999998</v>
      </c>
    </row>
    <row r="69" spans="1:13" x14ac:dyDescent="0.35">
      <c r="A69" s="2">
        <v>44774</v>
      </c>
      <c r="B69" s="3">
        <v>25.065380000000001</v>
      </c>
      <c r="C69" s="3">
        <v>54.322006000000002</v>
      </c>
      <c r="D69" s="3">
        <v>10.244999999999999</v>
      </c>
      <c r="E69" s="3">
        <v>49.25</v>
      </c>
      <c r="F69" s="3">
        <v>9.3759364999999999</v>
      </c>
      <c r="G69" s="3">
        <v>11.868</v>
      </c>
      <c r="H69" s="3">
        <v>0.87644624999999998</v>
      </c>
      <c r="I69" s="3">
        <v>19.122357999999998</v>
      </c>
      <c r="J69" s="3">
        <v>4.7619999999999996</v>
      </c>
      <c r="K69" s="3">
        <v>38.08</v>
      </c>
      <c r="L69" s="3">
        <v>10.385</v>
      </c>
      <c r="M69" s="3">
        <v>4.6955</v>
      </c>
    </row>
    <row r="70" spans="1:13" x14ac:dyDescent="0.35">
      <c r="A70" s="2">
        <v>44805</v>
      </c>
      <c r="B70" s="4">
        <v>19.046603999999999</v>
      </c>
      <c r="C70" s="4">
        <v>45.410736</v>
      </c>
      <c r="D70" s="4">
        <v>13.77</v>
      </c>
      <c r="E70" s="4">
        <v>44.8</v>
      </c>
      <c r="F70" s="4">
        <v>9.2074200000000008</v>
      </c>
      <c r="G70" s="4">
        <v>11.842000000000001</v>
      </c>
      <c r="H70" s="4">
        <v>0.80721370000000003</v>
      </c>
      <c r="I70" s="4">
        <v>17.405687</v>
      </c>
      <c r="J70" s="4">
        <v>4.4400000000000004</v>
      </c>
      <c r="K70" s="4">
        <v>37.79</v>
      </c>
      <c r="L70" s="4">
        <v>9.5820000000000007</v>
      </c>
      <c r="M70" s="4">
        <v>4.2240000000000002</v>
      </c>
    </row>
    <row r="71" spans="1:13" x14ac:dyDescent="0.35">
      <c r="A71" s="2">
        <v>44835</v>
      </c>
      <c r="B71" s="3">
        <v>19.933385999999999</v>
      </c>
      <c r="C71" s="3">
        <v>46.39143</v>
      </c>
      <c r="D71" s="3">
        <v>14.244999999999999</v>
      </c>
      <c r="E71" s="3">
        <v>44.34</v>
      </c>
      <c r="F71" s="3">
        <v>8.0664999999999996</v>
      </c>
      <c r="G71" s="3">
        <v>13.154</v>
      </c>
      <c r="H71" s="3">
        <v>0.89256270000000004</v>
      </c>
      <c r="I71" s="3">
        <v>18.126175</v>
      </c>
      <c r="J71" s="3">
        <v>4.4249999999999998</v>
      </c>
      <c r="K71" s="3">
        <v>38.99</v>
      </c>
      <c r="L71" s="3">
        <v>10.275</v>
      </c>
      <c r="M71" s="3">
        <v>4.5190000000000001</v>
      </c>
    </row>
    <row r="72" spans="1:13" x14ac:dyDescent="0.35">
      <c r="A72" s="2">
        <v>44866</v>
      </c>
      <c r="B72" s="4">
        <v>24.127834</v>
      </c>
      <c r="C72" s="4">
        <v>46.367294000000001</v>
      </c>
      <c r="D72" s="4">
        <v>15.215</v>
      </c>
      <c r="E72" s="4">
        <v>49.34</v>
      </c>
      <c r="F72" s="4">
        <v>8.9235120000000006</v>
      </c>
      <c r="G72" s="4">
        <v>14.52</v>
      </c>
      <c r="H72" s="4">
        <v>1.0994704</v>
      </c>
      <c r="I72" s="4">
        <v>19.760624</v>
      </c>
      <c r="J72" s="4">
        <v>4.5190000000000001</v>
      </c>
      <c r="K72" s="4">
        <v>42</v>
      </c>
      <c r="L72" s="4">
        <v>10.78</v>
      </c>
      <c r="M72" s="4">
        <v>5.1340000000000003</v>
      </c>
    </row>
    <row r="73" spans="1:13" x14ac:dyDescent="0.35">
      <c r="A73" s="2">
        <v>44896</v>
      </c>
      <c r="B73" s="3">
        <v>27.17699</v>
      </c>
      <c r="C73" s="3">
        <v>47.183495000000001</v>
      </c>
      <c r="D73" s="3">
        <v>15.54</v>
      </c>
      <c r="E73" s="3">
        <v>43.02</v>
      </c>
      <c r="F73" s="3">
        <v>8.7318479999999994</v>
      </c>
      <c r="G73" s="3">
        <v>13.3880005</v>
      </c>
      <c r="H73" s="3">
        <v>1.0878791999999999</v>
      </c>
      <c r="I73" s="3">
        <v>19.295994</v>
      </c>
      <c r="J73" s="3">
        <v>4.6559999999999997</v>
      </c>
      <c r="K73" s="3">
        <v>41.59</v>
      </c>
      <c r="L73" s="3">
        <v>10.93</v>
      </c>
      <c r="M73" s="3">
        <v>5.03</v>
      </c>
    </row>
    <row r="74" spans="1:13" x14ac:dyDescent="0.35">
      <c r="A74" s="2">
        <v>44927</v>
      </c>
      <c r="B74" s="4">
        <v>26.720524000000001</v>
      </c>
      <c r="C74" s="4">
        <v>45.200885999999997</v>
      </c>
      <c r="D74" s="4">
        <v>13.815</v>
      </c>
      <c r="E74" s="4">
        <v>43.83</v>
      </c>
      <c r="F74" s="4">
        <v>9.8806340000000006</v>
      </c>
      <c r="G74" s="4">
        <v>13.02</v>
      </c>
      <c r="H74" s="4">
        <v>1.1420591</v>
      </c>
      <c r="I74" s="4">
        <v>19.536860999999998</v>
      </c>
      <c r="J74" s="4">
        <v>4.5579999999999998</v>
      </c>
      <c r="K74" s="4">
        <v>40.799999999999997</v>
      </c>
      <c r="L74" s="4">
        <v>10.744999999999999</v>
      </c>
      <c r="M74" s="4">
        <v>5.391</v>
      </c>
    </row>
    <row r="75" spans="1:13" x14ac:dyDescent="0.35">
      <c r="A75" s="2">
        <v>44958</v>
      </c>
      <c r="B75" s="3">
        <v>26.952988000000001</v>
      </c>
      <c r="C75" s="3">
        <v>45.94218</v>
      </c>
      <c r="D75" s="3">
        <v>14.46</v>
      </c>
      <c r="E75" s="3">
        <v>45.69</v>
      </c>
      <c r="F75" s="3">
        <v>9.801501</v>
      </c>
      <c r="G75" s="3">
        <v>13.836</v>
      </c>
      <c r="H75" s="3">
        <v>1.2003756999999999</v>
      </c>
      <c r="I75" s="3">
        <v>19.926352000000001</v>
      </c>
      <c r="J75" s="3">
        <v>4.7759999999999998</v>
      </c>
      <c r="K75" s="3">
        <v>40.24</v>
      </c>
      <c r="L75" s="3">
        <v>10.865</v>
      </c>
      <c r="M75" s="3">
        <v>5.3170000000000002</v>
      </c>
    </row>
    <row r="76" spans="1:13" x14ac:dyDescent="0.35">
      <c r="A76" s="2">
        <v>44986</v>
      </c>
      <c r="B76" s="4">
        <v>26.713923000000001</v>
      </c>
      <c r="C76" s="4">
        <v>43.528163999999997</v>
      </c>
      <c r="D76" s="4">
        <v>14.115</v>
      </c>
      <c r="E76" s="4">
        <v>45.43</v>
      </c>
      <c r="F76" s="4">
        <v>10.456243000000001</v>
      </c>
      <c r="G76" s="4">
        <v>14.574</v>
      </c>
      <c r="H76" s="4">
        <v>1.2069173</v>
      </c>
      <c r="I76" s="4">
        <v>20.519302</v>
      </c>
      <c r="J76" s="4">
        <v>5.016</v>
      </c>
      <c r="K76" s="4">
        <v>39.64</v>
      </c>
      <c r="L76" s="4">
        <v>11.484999999999999</v>
      </c>
      <c r="M76" s="4">
        <v>5.6269999999999998</v>
      </c>
    </row>
    <row r="77" spans="1:13" x14ac:dyDescent="0.35">
      <c r="A77" s="2">
        <v>45017</v>
      </c>
      <c r="B77" s="3">
        <v>25.016655</v>
      </c>
      <c r="C77" s="3">
        <v>45.234023999999998</v>
      </c>
      <c r="D77" s="3">
        <v>13.53</v>
      </c>
      <c r="E77" s="3">
        <v>43.94</v>
      </c>
      <c r="F77" s="3">
        <v>10.111265</v>
      </c>
      <c r="G77" s="3">
        <v>14.516</v>
      </c>
      <c r="H77" s="3">
        <v>1.3035783999999999</v>
      </c>
      <c r="I77" s="3">
        <v>20.919872000000002</v>
      </c>
      <c r="J77" s="3">
        <v>5</v>
      </c>
      <c r="K77" s="3">
        <v>42.55</v>
      </c>
      <c r="L77" s="3">
        <v>11.78</v>
      </c>
      <c r="M77" s="3">
        <v>6.1989999999999998</v>
      </c>
    </row>
    <row r="78" spans="1:13" x14ac:dyDescent="0.35">
      <c r="A78" s="2">
        <v>45047</v>
      </c>
      <c r="B78" s="4">
        <v>26.633823</v>
      </c>
      <c r="C78" s="4">
        <v>45.527349999999998</v>
      </c>
      <c r="D78" s="4">
        <v>12.43</v>
      </c>
      <c r="E78" s="4">
        <v>35.369999999999997</v>
      </c>
      <c r="F78" s="4">
        <v>8.9244120000000002</v>
      </c>
      <c r="G78" s="4">
        <v>14.042</v>
      </c>
      <c r="H78" s="4">
        <v>1.3677459999999999</v>
      </c>
      <c r="I78" s="4">
        <v>21.873474000000002</v>
      </c>
      <c r="J78" s="4">
        <v>4.5620000000000003</v>
      </c>
      <c r="K78" s="4">
        <v>39.119999999999997</v>
      </c>
      <c r="L78" s="4">
        <v>11.4</v>
      </c>
      <c r="M78" s="4">
        <v>5.8579999999999997</v>
      </c>
    </row>
    <row r="79" spans="1:13" x14ac:dyDescent="0.35">
      <c r="A79" s="2">
        <v>45078</v>
      </c>
      <c r="B79" s="3">
        <v>24.370419999999999</v>
      </c>
      <c r="C79" s="3">
        <v>48.131171999999999</v>
      </c>
      <c r="D79" s="3">
        <v>12.265000000000001</v>
      </c>
      <c r="E79" s="3">
        <v>35.26</v>
      </c>
      <c r="F79" s="3">
        <v>8.6895880000000005</v>
      </c>
      <c r="G79" s="3">
        <v>15.228</v>
      </c>
      <c r="H79" s="3">
        <v>1.4443982</v>
      </c>
      <c r="I79" s="3">
        <v>21.453302000000001</v>
      </c>
      <c r="J79" s="3">
        <v>4.476</v>
      </c>
      <c r="K79" s="3">
        <v>39.869999999999997</v>
      </c>
      <c r="L79" s="3">
        <v>11.95</v>
      </c>
      <c r="M79" s="3">
        <v>6.1680000000000001</v>
      </c>
    </row>
    <row r="80" spans="1:13" x14ac:dyDescent="0.35">
      <c r="A80" s="2">
        <v>45108</v>
      </c>
      <c r="B80" s="4">
        <v>24.373138000000001</v>
      </c>
      <c r="C80" s="4">
        <v>44.091380000000001</v>
      </c>
      <c r="D80" s="4">
        <v>12.31</v>
      </c>
      <c r="E80" s="4">
        <v>33.46</v>
      </c>
      <c r="F80" s="4">
        <v>8.1777850000000001</v>
      </c>
      <c r="G80" s="4">
        <v>14.912000000000001</v>
      </c>
      <c r="H80" s="4">
        <v>1.6110111</v>
      </c>
      <c r="I80" s="4">
        <v>19.66939</v>
      </c>
      <c r="J80" s="4">
        <v>4.25</v>
      </c>
      <c r="K80" s="4">
        <v>39.130000000000003</v>
      </c>
      <c r="L80" s="4">
        <v>11.355</v>
      </c>
      <c r="M80" s="4">
        <v>6.2720000000000002</v>
      </c>
    </row>
    <row r="81" spans="1:13" x14ac:dyDescent="0.35">
      <c r="A81" s="2">
        <v>45139</v>
      </c>
      <c r="B81" s="3">
        <v>21.330881000000002</v>
      </c>
      <c r="C81" s="3">
        <v>32.998856000000004</v>
      </c>
      <c r="D81" s="3">
        <v>12.4</v>
      </c>
      <c r="E81" s="3">
        <v>33.78</v>
      </c>
      <c r="F81" s="3">
        <v>6.9149039999999999</v>
      </c>
      <c r="G81" s="3">
        <v>14.89</v>
      </c>
      <c r="H81" s="3">
        <v>1.7716867000000001</v>
      </c>
      <c r="I81" s="3">
        <v>18.989445</v>
      </c>
      <c r="J81" s="3">
        <v>4.2060000000000004</v>
      </c>
      <c r="K81" s="3">
        <v>38.06</v>
      </c>
      <c r="L81" s="3">
        <v>10.96</v>
      </c>
      <c r="M81" s="3">
        <v>6.21</v>
      </c>
    </row>
    <row r="82" spans="1:13" x14ac:dyDescent="0.35">
      <c r="A82" s="2">
        <v>45170</v>
      </c>
      <c r="B82" s="4">
        <v>20.324560000000002</v>
      </c>
      <c r="C82" s="4">
        <v>28.703137999999999</v>
      </c>
      <c r="D82" s="4">
        <v>10.994999999999999</v>
      </c>
      <c r="E82" s="4">
        <v>32.130000000000003</v>
      </c>
      <c r="F82" s="4">
        <v>6.2421369999999996</v>
      </c>
      <c r="G82" s="4">
        <v>14.53</v>
      </c>
      <c r="H82" s="4">
        <v>1.7805331</v>
      </c>
      <c r="I82" s="4">
        <v>18.560428999999999</v>
      </c>
      <c r="J82" s="4">
        <v>3.9359999000000001</v>
      </c>
      <c r="K82" s="4">
        <v>35.15</v>
      </c>
      <c r="L82" s="4">
        <v>10.595000000000001</v>
      </c>
      <c r="M82" s="4">
        <v>5.82</v>
      </c>
    </row>
    <row r="83" spans="1:13" x14ac:dyDescent="0.35">
      <c r="A83" s="2">
        <v>45200</v>
      </c>
      <c r="B83" s="3">
        <v>20.399667999999998</v>
      </c>
      <c r="C83" s="3">
        <v>25.303460999999999</v>
      </c>
      <c r="D83" s="3">
        <v>11.2</v>
      </c>
      <c r="E83" s="3">
        <v>31.71</v>
      </c>
      <c r="F83" s="3">
        <v>5.4346120000000004</v>
      </c>
      <c r="G83" s="3">
        <v>15.004</v>
      </c>
      <c r="H83" s="3">
        <v>1.8058247999999999</v>
      </c>
      <c r="I83" s="3">
        <v>18.747057000000002</v>
      </c>
      <c r="J83" s="3">
        <v>3.97</v>
      </c>
      <c r="K83" s="3">
        <v>36.130000000000003</v>
      </c>
      <c r="L83" s="3">
        <v>10.5</v>
      </c>
      <c r="M83" s="3">
        <v>5.9880000000000004</v>
      </c>
    </row>
    <row r="84" spans="1:13" x14ac:dyDescent="0.35">
      <c r="A84" s="2">
        <v>45231</v>
      </c>
      <c r="B84" s="4">
        <v>25.425013</v>
      </c>
      <c r="C84" s="4">
        <v>24.034153</v>
      </c>
      <c r="D84" s="4">
        <v>12.885</v>
      </c>
      <c r="E84" s="4">
        <v>34.880000000000003</v>
      </c>
      <c r="F84" s="4">
        <v>5.4191756</v>
      </c>
      <c r="G84" s="4">
        <v>15.917999999999999</v>
      </c>
      <c r="H84" s="4">
        <v>1.7293543</v>
      </c>
      <c r="I84" s="4">
        <v>21.261602</v>
      </c>
      <c r="J84" s="4">
        <v>4.3869999999999996</v>
      </c>
      <c r="K84" s="4">
        <v>39.369999999999997</v>
      </c>
      <c r="L84" s="4">
        <v>11.345000000000001</v>
      </c>
      <c r="M84" s="4">
        <v>6.4859999999999998</v>
      </c>
    </row>
    <row r="85" spans="1:13" x14ac:dyDescent="0.35">
      <c r="A85" s="2">
        <v>45261</v>
      </c>
      <c r="B85" s="3">
        <v>28.747485999999999</v>
      </c>
      <c r="C85" s="3">
        <v>27.907236000000001</v>
      </c>
      <c r="D85" s="3">
        <v>13.06</v>
      </c>
      <c r="E85" s="3">
        <v>32.21</v>
      </c>
      <c r="F85" s="3">
        <v>6.3597593000000003</v>
      </c>
      <c r="G85" s="3">
        <v>15.917999999999999</v>
      </c>
      <c r="H85" s="3">
        <v>1.6231443000000001</v>
      </c>
      <c r="I85" s="3">
        <v>21.418811999999999</v>
      </c>
      <c r="J85" s="3">
        <v>4.5549999999999997</v>
      </c>
      <c r="K85" s="3">
        <v>41.18</v>
      </c>
      <c r="L85" s="3">
        <v>11.87</v>
      </c>
      <c r="M85" s="3">
        <v>6.73</v>
      </c>
    </row>
    <row r="86" spans="1:13" x14ac:dyDescent="0.35">
      <c r="A86" s="2">
        <v>45292</v>
      </c>
      <c r="B86" s="4">
        <v>26.384459</v>
      </c>
      <c r="C86" s="4">
        <v>29.193301999999999</v>
      </c>
      <c r="D86" s="4">
        <v>12.69</v>
      </c>
      <c r="E86" s="4">
        <v>32.049999999999997</v>
      </c>
      <c r="F86" s="4">
        <v>5.5900493000000004</v>
      </c>
      <c r="G86" s="4">
        <v>14.81</v>
      </c>
      <c r="H86" s="4">
        <v>1.6230992</v>
      </c>
      <c r="I86" s="4">
        <v>19.753862000000002</v>
      </c>
      <c r="J86" s="4">
        <v>4.1420000000000003</v>
      </c>
      <c r="K86" s="4">
        <v>34.33</v>
      </c>
      <c r="L86" s="4">
        <v>11.175000000000001</v>
      </c>
      <c r="M86" s="4">
        <v>6.3410000000000002</v>
      </c>
    </row>
    <row r="87" spans="1:13" x14ac:dyDescent="0.35">
      <c r="A87" s="2">
        <v>45323</v>
      </c>
      <c r="B87" s="3">
        <v>25.749334000000001</v>
      </c>
      <c r="C87" s="3">
        <v>28.833276999999999</v>
      </c>
      <c r="D87" s="3">
        <v>11.55</v>
      </c>
      <c r="E87" s="3">
        <v>25.37</v>
      </c>
      <c r="F87" s="3">
        <v>5.1600840000000003</v>
      </c>
      <c r="G87" s="3">
        <v>14.836</v>
      </c>
      <c r="H87" s="3">
        <v>1.4710896</v>
      </c>
      <c r="I87" s="3">
        <v>19.000843</v>
      </c>
      <c r="J87" s="3">
        <v>3.6789999999999998</v>
      </c>
      <c r="K87" s="3">
        <v>31</v>
      </c>
      <c r="L87" s="3">
        <v>10.62</v>
      </c>
      <c r="M87" s="3">
        <v>5.883</v>
      </c>
    </row>
    <row r="88" spans="1:13" x14ac:dyDescent="0.35">
      <c r="A88" s="2">
        <v>45352</v>
      </c>
      <c r="B88" s="4">
        <v>25.875520000000002</v>
      </c>
      <c r="C88" s="4">
        <v>28.644053</v>
      </c>
      <c r="D88" s="4">
        <v>11.445</v>
      </c>
      <c r="E88" s="4">
        <v>25.1</v>
      </c>
      <c r="F88" s="4">
        <v>4.5514345</v>
      </c>
      <c r="G88" s="4">
        <v>15.51</v>
      </c>
      <c r="H88" s="4">
        <v>1.4930912999999999</v>
      </c>
      <c r="I88" s="4">
        <v>19.299654</v>
      </c>
      <c r="J88" s="4">
        <v>3.6100001000000002</v>
      </c>
      <c r="K88" s="4">
        <v>31.46</v>
      </c>
      <c r="L88" s="4">
        <v>11.494999999999999</v>
      </c>
      <c r="M88" s="4">
        <v>6.1189999999999998</v>
      </c>
    </row>
    <row r="89" spans="1:13" x14ac:dyDescent="0.35">
      <c r="A89" s="2">
        <v>45383</v>
      </c>
      <c r="B89" s="3">
        <v>25.260134000000001</v>
      </c>
      <c r="C89" s="3">
        <v>28.742445</v>
      </c>
      <c r="D89" s="3">
        <v>12.38</v>
      </c>
      <c r="E89" s="3">
        <v>21.34</v>
      </c>
      <c r="F89" s="3">
        <v>4.3967346999999997</v>
      </c>
      <c r="G89" s="3">
        <v>16.27</v>
      </c>
      <c r="H89" s="3">
        <v>1.4983641999999999</v>
      </c>
      <c r="I89" s="3">
        <v>19.515623000000001</v>
      </c>
      <c r="J89" s="3">
        <v>3.5259999999999998</v>
      </c>
      <c r="K89" s="3">
        <v>32.630000000000003</v>
      </c>
      <c r="L89" s="3">
        <v>11.51</v>
      </c>
      <c r="M89" s="3">
        <v>6.1809998000000004</v>
      </c>
    </row>
    <row r="90" spans="1:13" x14ac:dyDescent="0.35">
      <c r="A90" s="2">
        <v>45413</v>
      </c>
      <c r="B90" s="4">
        <v>25.855255</v>
      </c>
      <c r="C90" s="4">
        <v>31.214676000000001</v>
      </c>
      <c r="D90" s="4">
        <v>14.015000000000001</v>
      </c>
      <c r="E90" s="4">
        <v>19.265000000000001</v>
      </c>
      <c r="F90" s="4">
        <v>4.6752900000000004</v>
      </c>
      <c r="G90" s="4">
        <v>15.535</v>
      </c>
      <c r="H90" s="4">
        <v>1.6601092</v>
      </c>
      <c r="I90" s="4">
        <v>20.582773</v>
      </c>
      <c r="J90" s="4">
        <v>3.7309999999999999</v>
      </c>
      <c r="K90" s="4">
        <v>34.840000000000003</v>
      </c>
      <c r="L90" s="4">
        <v>12.1</v>
      </c>
      <c r="M90" s="4">
        <v>6.6559999999999997</v>
      </c>
    </row>
    <row r="91" spans="1:13" x14ac:dyDescent="0.35">
      <c r="A91" s="2">
        <v>45444</v>
      </c>
      <c r="B91" s="3">
        <v>21.622669999999999</v>
      </c>
      <c r="C91" s="3">
        <v>27.620676</v>
      </c>
      <c r="D91" s="3">
        <v>13.65</v>
      </c>
      <c r="E91" s="3">
        <v>16.625</v>
      </c>
      <c r="F91" s="3">
        <v>3.9594548000000001</v>
      </c>
      <c r="G91" s="3">
        <v>13.335000000000001</v>
      </c>
      <c r="H91" s="3">
        <v>1.5911088</v>
      </c>
      <c r="I91" s="3">
        <v>21.106667000000002</v>
      </c>
      <c r="J91" s="3">
        <v>3.4990000000000001</v>
      </c>
      <c r="K91" s="3">
        <v>31.95</v>
      </c>
      <c r="L91" s="3">
        <v>12.115</v>
      </c>
      <c r="M91" s="3">
        <v>6.4939999999999998</v>
      </c>
    </row>
    <row r="92" spans="1:13" x14ac:dyDescent="0.35">
      <c r="A92" s="2">
        <v>45474</v>
      </c>
      <c r="B92" s="4">
        <v>22.815435000000001</v>
      </c>
      <c r="C92" s="4">
        <v>30.568090000000002</v>
      </c>
      <c r="D92" s="4">
        <v>14.19</v>
      </c>
      <c r="E92" s="4">
        <v>18.66</v>
      </c>
      <c r="F92" s="4">
        <v>4.0534543999999997</v>
      </c>
      <c r="G92" s="4">
        <v>14.54</v>
      </c>
      <c r="H92" s="4">
        <v>1.5733652</v>
      </c>
      <c r="I92" s="4">
        <v>22.321490000000001</v>
      </c>
      <c r="J92" s="4">
        <v>3.8</v>
      </c>
      <c r="K92" s="4">
        <v>34.49</v>
      </c>
      <c r="L92" s="4">
        <v>12.18</v>
      </c>
      <c r="M92" s="4">
        <v>6.5940000000000003</v>
      </c>
    </row>
    <row r="93" spans="1:13" x14ac:dyDescent="0.35">
      <c r="A93" s="2">
        <v>45505</v>
      </c>
      <c r="B93" s="3">
        <v>20.76698</v>
      </c>
      <c r="C93" s="3">
        <v>29.105394</v>
      </c>
      <c r="D93" s="3">
        <v>14.46</v>
      </c>
      <c r="E93" s="3">
        <v>21.15</v>
      </c>
      <c r="F93" s="3">
        <v>4.4673862</v>
      </c>
      <c r="G93" s="3">
        <v>15.93</v>
      </c>
      <c r="H93" s="3">
        <v>1.5286808000000001</v>
      </c>
      <c r="I93" s="3">
        <v>22.404820999999998</v>
      </c>
      <c r="J93" s="3">
        <v>3.7959999999999998</v>
      </c>
      <c r="K93" s="3">
        <v>32.630000000000003</v>
      </c>
      <c r="L93" s="3">
        <v>12.82</v>
      </c>
      <c r="M93" s="3">
        <v>6.8639999999999999</v>
      </c>
    </row>
    <row r="94" spans="1:13" x14ac:dyDescent="0.35">
      <c r="A94" s="2">
        <v>45536</v>
      </c>
      <c r="B94" s="4">
        <v>19.833241999999998</v>
      </c>
      <c r="C94" s="4">
        <v>33.193027000000001</v>
      </c>
      <c r="D94" s="4">
        <v>14.795</v>
      </c>
      <c r="E94" s="4">
        <v>17.43</v>
      </c>
      <c r="F94" s="4">
        <v>4.9200244</v>
      </c>
      <c r="G94" s="4">
        <v>15.515000000000001</v>
      </c>
      <c r="H94" s="4">
        <v>1.4019845</v>
      </c>
      <c r="I94" s="4">
        <v>22.631264000000002</v>
      </c>
      <c r="J94" s="4">
        <v>4.1020000000000003</v>
      </c>
      <c r="K94" s="4">
        <v>32.68</v>
      </c>
      <c r="L94" s="4">
        <v>13.89</v>
      </c>
      <c r="M94" s="4">
        <v>7.1749999999999998</v>
      </c>
    </row>
    <row r="95" spans="1:13" x14ac:dyDescent="0.35">
      <c r="A95" s="2">
        <v>45566</v>
      </c>
      <c r="B95" s="3">
        <v>17.309432999999999</v>
      </c>
      <c r="C95" s="3">
        <v>29.860374</v>
      </c>
      <c r="D95" s="3">
        <v>13.53</v>
      </c>
      <c r="E95" s="3">
        <v>14.68</v>
      </c>
      <c r="F95" s="3">
        <v>4.4281800000000002</v>
      </c>
      <c r="G95" s="3">
        <v>15.414999999999999</v>
      </c>
      <c r="H95" s="3">
        <v>1.3890918000000001</v>
      </c>
      <c r="I95" s="3">
        <v>20.854140999999998</v>
      </c>
      <c r="J95" s="3">
        <v>3.6120000000000001</v>
      </c>
      <c r="K95" s="3">
        <v>29.77</v>
      </c>
      <c r="L95" s="3">
        <v>13.645</v>
      </c>
      <c r="M95" s="3">
        <v>6.9700002999999997</v>
      </c>
    </row>
    <row r="96" spans="1:13" x14ac:dyDescent="0.35">
      <c r="A96" s="2">
        <v>45597</v>
      </c>
      <c r="B96" s="4">
        <v>14.709375</v>
      </c>
      <c r="C96" s="4">
        <v>29.199225999999999</v>
      </c>
      <c r="D96" s="4">
        <v>14.265000000000001</v>
      </c>
      <c r="E96" s="4">
        <v>14.404999999999999</v>
      </c>
      <c r="F96" s="4">
        <v>4.0078076999999999</v>
      </c>
      <c r="G96" s="4">
        <v>15.085000000000001</v>
      </c>
      <c r="H96" s="4">
        <v>1.5331545</v>
      </c>
      <c r="I96" s="4">
        <v>21.318549999999998</v>
      </c>
      <c r="J96" s="4">
        <v>3.4220000000000002</v>
      </c>
      <c r="K96" s="4">
        <v>31.87</v>
      </c>
      <c r="L96" s="4">
        <v>13.49</v>
      </c>
      <c r="M96" s="4">
        <v>6.81</v>
      </c>
    </row>
    <row r="97" spans="1:13" x14ac:dyDescent="0.35">
      <c r="A97" s="2">
        <v>45627</v>
      </c>
      <c r="B97" s="3">
        <v>13.150385</v>
      </c>
      <c r="C97" s="3">
        <v>24.159634</v>
      </c>
      <c r="D97" s="3">
        <v>13.515000000000001</v>
      </c>
      <c r="E97" s="3">
        <v>12.125</v>
      </c>
      <c r="F97" s="3">
        <v>3.7719730999999999</v>
      </c>
      <c r="G97" s="3">
        <v>15.31</v>
      </c>
      <c r="H97" s="3">
        <v>1.6158440000000001</v>
      </c>
      <c r="I97" s="3">
        <v>19.399805000000001</v>
      </c>
      <c r="J97" s="3">
        <v>3.0910000000000002</v>
      </c>
      <c r="K97" s="3">
        <v>28.83</v>
      </c>
      <c r="L97" s="3">
        <v>13.3</v>
      </c>
      <c r="M97" s="3">
        <v>6.8860000000000001</v>
      </c>
    </row>
    <row r="98" spans="1:13" x14ac:dyDescent="0.35">
      <c r="A98" s="2">
        <v>45658</v>
      </c>
      <c r="B98" s="4">
        <v>13.259007</v>
      </c>
      <c r="C98" s="4">
        <v>20.713781000000001</v>
      </c>
      <c r="D98" s="4">
        <v>14</v>
      </c>
      <c r="E98" s="4">
        <v>12.234999999999999</v>
      </c>
      <c r="F98" s="4">
        <v>3.8784882999999999</v>
      </c>
      <c r="G98" s="4">
        <v>15.914999999999999</v>
      </c>
      <c r="H98" s="4">
        <v>1.7032695</v>
      </c>
      <c r="I98" s="4">
        <v>19.500941999999998</v>
      </c>
      <c r="J98" s="4">
        <v>3.036</v>
      </c>
      <c r="K98" s="4">
        <v>29.88</v>
      </c>
      <c r="L98" s="4">
        <v>13.64</v>
      </c>
      <c r="M98" s="4">
        <v>6.8689999999999998</v>
      </c>
    </row>
    <row r="99" spans="1:13" x14ac:dyDescent="0.35">
      <c r="A99" s="2">
        <v>45689</v>
      </c>
      <c r="B99" s="3">
        <v>13.59662</v>
      </c>
      <c r="C99" s="3">
        <v>23.490839000000001</v>
      </c>
      <c r="D99" s="3">
        <v>15.095000000000001</v>
      </c>
      <c r="E99" s="3">
        <v>8.5980000000000008</v>
      </c>
      <c r="F99" s="3">
        <v>3.6042801999999998</v>
      </c>
      <c r="G99" s="3">
        <v>17.239999999999998</v>
      </c>
      <c r="H99" s="3">
        <v>1.8100281</v>
      </c>
      <c r="I99" s="3">
        <v>18.499818999999999</v>
      </c>
      <c r="J99" s="3">
        <v>3.11</v>
      </c>
      <c r="K99" s="3">
        <v>30.32</v>
      </c>
      <c r="L99" s="3">
        <v>13.95</v>
      </c>
      <c r="M99" s="3">
        <v>7.0590000000000002</v>
      </c>
    </row>
    <row r="100" spans="1:13" x14ac:dyDescent="0.35">
      <c r="A100" s="2">
        <v>45717</v>
      </c>
      <c r="B100" s="4">
        <v>12.722808000000001</v>
      </c>
      <c r="C100" s="4">
        <v>22.453693000000001</v>
      </c>
      <c r="D100" s="4">
        <v>15.11</v>
      </c>
      <c r="E100" s="4">
        <v>8.5340000000000007</v>
      </c>
      <c r="F100" s="4">
        <v>3.4956214000000001</v>
      </c>
      <c r="G100" s="4">
        <v>18.035</v>
      </c>
      <c r="H100" s="4">
        <v>1.7846093000000001</v>
      </c>
      <c r="I100" s="4">
        <v>19.046986</v>
      </c>
      <c r="J100" s="4">
        <v>3.1120000000000001</v>
      </c>
      <c r="K100" s="4">
        <v>33.020000000000003</v>
      </c>
      <c r="L100" s="4">
        <v>14.94</v>
      </c>
      <c r="M100" s="4">
        <v>7.4969999999999999</v>
      </c>
    </row>
    <row r="101" spans="1:13" x14ac:dyDescent="0.35">
      <c r="A101" s="2">
        <v>45748</v>
      </c>
      <c r="B101" s="3">
        <v>11.691917</v>
      </c>
      <c r="C101" s="3">
        <v>19.496624000000001</v>
      </c>
      <c r="D101" s="3">
        <v>14.744999999999999</v>
      </c>
      <c r="E101" s="3">
        <v>9.1560000000000006</v>
      </c>
      <c r="F101" s="3">
        <v>3.7194992999999998</v>
      </c>
      <c r="G101" s="3">
        <v>18.184999999999999</v>
      </c>
      <c r="H101" s="3">
        <v>1.8817889999999999</v>
      </c>
      <c r="I101" s="3">
        <v>19.881278999999999</v>
      </c>
      <c r="J101" s="3">
        <v>3.476</v>
      </c>
      <c r="K101" s="3">
        <v>34.200000000000003</v>
      </c>
      <c r="L101" s="3">
        <v>15.895</v>
      </c>
      <c r="M101" s="3">
        <v>7.6440000000000001</v>
      </c>
    </row>
    <row r="102" spans="1:13" x14ac:dyDescent="0.35">
      <c r="A102" s="2">
        <v>45778</v>
      </c>
      <c r="B102" s="4">
        <v>13.896000000000001</v>
      </c>
      <c r="C102" s="4">
        <v>19.992193</v>
      </c>
      <c r="D102" s="4">
        <v>15.2</v>
      </c>
      <c r="E102" s="4">
        <v>9.4499999999999993</v>
      </c>
      <c r="F102" s="4">
        <v>3.6014241999999999</v>
      </c>
      <c r="G102" s="4">
        <v>18.984999999999999</v>
      </c>
      <c r="H102" s="4">
        <v>1.8810209</v>
      </c>
      <c r="I102" s="4">
        <v>20.918710000000001</v>
      </c>
      <c r="J102" s="4">
        <v>3.51</v>
      </c>
      <c r="K102" s="4">
        <v>33.130000000000003</v>
      </c>
      <c r="L102" s="4">
        <v>16.079999999999998</v>
      </c>
      <c r="M102" s="4">
        <v>8.0850000000000009</v>
      </c>
    </row>
    <row r="103" spans="1:13" x14ac:dyDescent="0.35">
      <c r="A103" s="2">
        <v>45809</v>
      </c>
      <c r="B103" s="3">
        <v>12.735974000000001</v>
      </c>
      <c r="C103" s="3">
        <v>20.263076999999999</v>
      </c>
      <c r="D103" s="3">
        <v>15.89</v>
      </c>
      <c r="E103" s="3">
        <v>11.52</v>
      </c>
      <c r="F103" s="3">
        <v>3.6058872000000002</v>
      </c>
      <c r="G103" s="3">
        <v>19.925000000000001</v>
      </c>
      <c r="H103" s="3">
        <v>1.8859313</v>
      </c>
      <c r="I103" s="3">
        <v>21.375053000000001</v>
      </c>
      <c r="J103" s="3">
        <v>3.6819999999999999</v>
      </c>
      <c r="K103" s="3">
        <v>35.43</v>
      </c>
      <c r="L103" s="3">
        <v>16.29</v>
      </c>
      <c r="M103" s="3">
        <v>8.0559999999999992</v>
      </c>
    </row>
    <row r="104" spans="1:13" x14ac:dyDescent="0.35">
      <c r="A104" s="2">
        <v>45839</v>
      </c>
      <c r="B104" s="4">
        <v>16.080846999999999</v>
      </c>
      <c r="C104" s="4">
        <v>22.962568000000001</v>
      </c>
      <c r="D104" s="4">
        <v>16.09</v>
      </c>
      <c r="E104" s="4">
        <v>13.835000000000001</v>
      </c>
      <c r="F104" s="4">
        <v>4.0391817000000003</v>
      </c>
      <c r="G104" s="4">
        <v>19.62</v>
      </c>
      <c r="H104" s="4">
        <v>1.9031359000000001</v>
      </c>
      <c r="I104" s="4">
        <v>21.372702</v>
      </c>
      <c r="J104" s="4">
        <v>3.786</v>
      </c>
      <c r="K104" s="4">
        <v>35.909999999999997</v>
      </c>
      <c r="L104" s="4">
        <v>15.355</v>
      </c>
      <c r="M104" s="4">
        <v>7.7329999999999997</v>
      </c>
    </row>
    <row r="105" spans="1:13" x14ac:dyDescent="0.35">
      <c r="A105" s="2">
        <v>45870</v>
      </c>
      <c r="B105" s="3">
        <v>17.013701999999999</v>
      </c>
      <c r="C105" s="3">
        <v>14.381663</v>
      </c>
      <c r="D105" s="3">
        <v>14.79</v>
      </c>
      <c r="E105" s="3">
        <v>15.69</v>
      </c>
      <c r="F105" s="3">
        <v>3.5036063</v>
      </c>
      <c r="G105" s="3">
        <v>17.690000000000001</v>
      </c>
      <c r="H105" s="3">
        <v>1.8577657000000001</v>
      </c>
      <c r="I105" s="3">
        <v>19.968529</v>
      </c>
      <c r="J105" s="3">
        <v>3.7869999999999999</v>
      </c>
      <c r="K105" s="3">
        <v>34.24</v>
      </c>
      <c r="L105" s="3">
        <v>16.074999999999999</v>
      </c>
      <c r="M105" s="3">
        <v>7.8840000000000003</v>
      </c>
    </row>
    <row r="106" spans="1:13" x14ac:dyDescent="0.35">
      <c r="A106" s="2">
        <v>45901</v>
      </c>
      <c r="B106" s="4">
        <v>16.049215</v>
      </c>
      <c r="C106" s="4">
        <v>15.211923000000001</v>
      </c>
      <c r="D106" s="4">
        <v>16.105</v>
      </c>
      <c r="E106" s="4">
        <v>15.585000000000001</v>
      </c>
      <c r="F106" s="4">
        <v>3.3517353999999999</v>
      </c>
      <c r="G106" s="4">
        <v>18.254999999999999</v>
      </c>
      <c r="H106" s="4">
        <v>1.9088106</v>
      </c>
      <c r="I106" s="4">
        <v>19.953144000000002</v>
      </c>
      <c r="J106" s="4">
        <v>4.0369999999999999</v>
      </c>
      <c r="K106" s="4">
        <v>37.82</v>
      </c>
      <c r="L106" s="4">
        <v>16.105</v>
      </c>
      <c r="M106" s="4">
        <v>8.0660000000000007</v>
      </c>
    </row>
    <row r="107" spans="1:13" x14ac:dyDescent="0.35">
      <c r="A107" s="2">
        <v>45931</v>
      </c>
      <c r="B107" s="3">
        <v>17.670719999999999</v>
      </c>
      <c r="C107" s="3">
        <v>15.507915499999999</v>
      </c>
      <c r="D107" s="3">
        <v>19.34</v>
      </c>
      <c r="E107" s="3">
        <v>17.954999999999998</v>
      </c>
      <c r="F107" s="3">
        <v>3.3871098000000002</v>
      </c>
      <c r="G107" s="3">
        <v>20.3</v>
      </c>
      <c r="H107" s="3">
        <v>2.0410094000000001</v>
      </c>
      <c r="I107" s="3">
        <v>21.810227999999999</v>
      </c>
      <c r="J107" s="3">
        <v>4.3099999999999996</v>
      </c>
      <c r="K107" s="3">
        <v>42.66</v>
      </c>
      <c r="L107" s="3">
        <v>17.565000000000001</v>
      </c>
      <c r="M107" s="3">
        <v>8.7720000000000002</v>
      </c>
    </row>
    <row r="108" spans="1:13" x14ac:dyDescent="0.35">
      <c r="A108" s="2">
        <v>45962</v>
      </c>
      <c r="B108" s="4">
        <v>20.505521999999999</v>
      </c>
      <c r="C108" s="4">
        <v>18.309698000000001</v>
      </c>
      <c r="D108" s="4">
        <v>17.695</v>
      </c>
      <c r="E108" s="4">
        <v>16.64</v>
      </c>
      <c r="F108" s="4">
        <v>3.1883743</v>
      </c>
      <c r="G108" s="4">
        <v>21.9</v>
      </c>
      <c r="H108" s="4">
        <v>1.9580154000000001</v>
      </c>
      <c r="I108" s="4">
        <v>25.094566</v>
      </c>
      <c r="J108" s="4">
        <v>3.8460000000000001</v>
      </c>
      <c r="K108" s="4">
        <v>43.74</v>
      </c>
      <c r="L108" s="4">
        <v>18.184999999999999</v>
      </c>
      <c r="M108" s="4">
        <v>8.9079999999999995</v>
      </c>
    </row>
    <row r="109" spans="1:13" x14ac:dyDescent="0.35">
      <c r="A109" s="2">
        <v>45992</v>
      </c>
      <c r="B109" s="3">
        <v>23.219069000000001</v>
      </c>
      <c r="C109" s="3">
        <v>16.383236</v>
      </c>
      <c r="D109" s="3">
        <v>18.18</v>
      </c>
      <c r="E109" s="3">
        <v>19.41</v>
      </c>
      <c r="F109" s="3">
        <v>3.2946309999999999</v>
      </c>
      <c r="G109" s="3">
        <v>22.41</v>
      </c>
      <c r="H109" s="3">
        <v>1.9417872</v>
      </c>
      <c r="I109" s="3">
        <v>24.955202</v>
      </c>
      <c r="J109" s="3">
        <v>3.915</v>
      </c>
      <c r="K109" s="3">
        <v>45.26</v>
      </c>
      <c r="L109" s="3">
        <v>18.465</v>
      </c>
      <c r="M109" s="3">
        <v>8.8770000000000007</v>
      </c>
    </row>
    <row r="110" spans="1:13" x14ac:dyDescent="0.35">
      <c r="A110" s="2">
        <v>46023</v>
      </c>
      <c r="B110" s="4">
        <v>25.663955999999999</v>
      </c>
      <c r="C110" s="4">
        <v>18.961735000000001</v>
      </c>
      <c r="D110" s="4">
        <v>19.914999999999999</v>
      </c>
      <c r="E110" s="4">
        <v>21.56</v>
      </c>
      <c r="F110" s="4">
        <v>3.2380347</v>
      </c>
      <c r="G110" s="4">
        <v>25.1</v>
      </c>
      <c r="H110" s="4">
        <v>2.2025901999999999</v>
      </c>
      <c r="I110" s="4">
        <v>27.937539999999998</v>
      </c>
      <c r="J110" s="4">
        <v>4.3170000000000002</v>
      </c>
      <c r="K110" s="4">
        <v>53.52</v>
      </c>
      <c r="L110" s="4">
        <v>18.925000000000001</v>
      </c>
      <c r="M110" s="4">
        <v>9.3079999999999998</v>
      </c>
    </row>
    <row r="111" spans="1:13" x14ac:dyDescent="0.35">
      <c r="A111" s="2">
        <v>46054</v>
      </c>
      <c r="B111" s="3">
        <v>21.742708</v>
      </c>
      <c r="C111" s="3">
        <v>20.076370000000001</v>
      </c>
      <c r="D111" s="3">
        <v>19.809999999999999</v>
      </c>
      <c r="E111" s="3">
        <v>21.18</v>
      </c>
      <c r="F111" s="3">
        <v>3.4797761</v>
      </c>
      <c r="G111" s="3">
        <v>28.93</v>
      </c>
      <c r="H111" s="3">
        <v>2.2676989999999999</v>
      </c>
      <c r="I111" s="3">
        <v>30.619344999999999</v>
      </c>
      <c r="J111" s="3">
        <v>4.516</v>
      </c>
      <c r="K111" s="3">
        <v>54.54</v>
      </c>
      <c r="L111" s="3">
        <v>20.05</v>
      </c>
      <c r="M111" s="3">
        <v>10.194000000000001</v>
      </c>
    </row>
    <row r="113" spans="14:15" x14ac:dyDescent="0.35">
      <c r="N113" s="5"/>
      <c r="O113" s="3"/>
    </row>
  </sheetData>
  <sortState xmlns:xlrd2="http://schemas.microsoft.com/office/spreadsheetml/2017/richdata2" ref="O2:P38">
    <sortCondition descending="1" ref="O2:O3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C5DCE-086C-4683-B906-AF75151C5E20}">
  <dimension ref="A1:N57"/>
  <sheetViews>
    <sheetView workbookViewId="0">
      <selection sqref="A1:A1048576"/>
    </sheetView>
  </sheetViews>
  <sheetFormatPr defaultRowHeight="14.5" x14ac:dyDescent="0.35"/>
  <cols>
    <col min="1" max="1" width="10.08984375" style="9" bestFit="1" customWidth="1"/>
  </cols>
  <sheetData>
    <row r="1" spans="1:13" x14ac:dyDescent="0.35">
      <c r="A1" s="10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</v>
      </c>
      <c r="J1" t="s">
        <v>2</v>
      </c>
      <c r="K1" t="s">
        <v>3</v>
      </c>
      <c r="L1" t="s">
        <v>11</v>
      </c>
      <c r="M1" t="s">
        <v>12</v>
      </c>
    </row>
    <row r="2" spans="1:13" x14ac:dyDescent="0.35">
      <c r="A2" s="6">
        <v>42734</v>
      </c>
      <c r="B2" s="3">
        <v>14.828200000000001</v>
      </c>
      <c r="C2" s="3">
        <v>19.664400000000001</v>
      </c>
      <c r="D2" s="3">
        <v>13.6167</v>
      </c>
      <c r="E2" s="3">
        <v>12.463699999999999</v>
      </c>
      <c r="F2" s="3">
        <v>1.90462</v>
      </c>
      <c r="G2" s="3">
        <v>15.164300000000001</v>
      </c>
      <c r="H2" s="3">
        <v>2.7897599999999998</v>
      </c>
      <c r="I2" s="3">
        <v>18.7059</v>
      </c>
      <c r="J2" s="3">
        <v>3.1546400000000001</v>
      </c>
      <c r="K2" s="3">
        <v>13.4582</v>
      </c>
      <c r="L2" s="3">
        <v>6.6627900000000002</v>
      </c>
      <c r="M2" s="3">
        <v>4.65977</v>
      </c>
    </row>
    <row r="3" spans="1:13" x14ac:dyDescent="0.35">
      <c r="A3" s="7">
        <v>42825</v>
      </c>
      <c r="B3" s="4">
        <v>16.123999999999999</v>
      </c>
      <c r="C3" s="4">
        <v>20.8855</v>
      </c>
      <c r="D3" s="4">
        <v>13.4034</v>
      </c>
      <c r="E3" s="4">
        <v>11.2683</v>
      </c>
      <c r="F3" s="4">
        <v>1.9431400000000001</v>
      </c>
      <c r="G3" s="4">
        <v>14.455299999999999</v>
      </c>
      <c r="H3" s="4">
        <v>2.6059399999999999</v>
      </c>
      <c r="I3" s="4">
        <v>18.550899999999999</v>
      </c>
      <c r="J3" s="4">
        <v>3.1721699999999999</v>
      </c>
      <c r="K3" s="4">
        <v>14.6578</v>
      </c>
      <c r="L3" s="4">
        <v>6.8024500000000003</v>
      </c>
      <c r="M3" s="4">
        <v>4.6695799999999998</v>
      </c>
    </row>
    <row r="4" spans="1:13" x14ac:dyDescent="0.35">
      <c r="A4" s="6">
        <v>42916</v>
      </c>
      <c r="B4" s="3">
        <v>16.7821</v>
      </c>
      <c r="C4" s="3">
        <v>21.898</v>
      </c>
      <c r="D4" s="3">
        <v>13.475</v>
      </c>
      <c r="E4" s="3">
        <v>11.578900000000001</v>
      </c>
      <c r="F4" s="3">
        <v>2.20316</v>
      </c>
      <c r="G4" s="3">
        <v>14.533300000000001</v>
      </c>
      <c r="H4" s="3">
        <v>2.36191</v>
      </c>
      <c r="I4" s="3">
        <v>17.664000000000001</v>
      </c>
      <c r="J4" s="3">
        <v>3.1651899999999999</v>
      </c>
      <c r="K4" s="3">
        <v>18.7515</v>
      </c>
      <c r="L4" s="3">
        <v>7.2241</v>
      </c>
      <c r="M4" s="3">
        <v>5.0125000000000002</v>
      </c>
    </row>
    <row r="5" spans="1:13" x14ac:dyDescent="0.35">
      <c r="A5" s="7">
        <v>43008</v>
      </c>
      <c r="B5" s="4">
        <v>17.249300000000002</v>
      </c>
      <c r="C5" s="4">
        <v>25.191500000000001</v>
      </c>
      <c r="D5" s="4">
        <v>14.7889</v>
      </c>
      <c r="E5" s="4">
        <v>11.8066</v>
      </c>
      <c r="F5" s="4">
        <v>2.0652400000000002</v>
      </c>
      <c r="G5" s="4">
        <v>14.929399999999999</v>
      </c>
      <c r="H5" s="4">
        <v>2.3498999999999999</v>
      </c>
      <c r="I5" s="4">
        <v>17.469200000000001</v>
      </c>
      <c r="J5" s="4">
        <v>3.1331500000000001</v>
      </c>
      <c r="K5" s="4">
        <v>20.469100000000001</v>
      </c>
      <c r="L5" s="4">
        <v>7.2355400000000003</v>
      </c>
      <c r="M5" s="4">
        <v>5.3003999999999998</v>
      </c>
    </row>
    <row r="6" spans="1:13" x14ac:dyDescent="0.35">
      <c r="A6" s="6">
        <v>43099</v>
      </c>
      <c r="B6" s="3">
        <v>13.4604</v>
      </c>
      <c r="C6" s="3">
        <v>26.853200000000001</v>
      </c>
      <c r="D6" s="3">
        <v>17.579499999999999</v>
      </c>
      <c r="E6" s="3">
        <v>15.287699999999999</v>
      </c>
      <c r="F6" s="3">
        <v>1.9791700000000001</v>
      </c>
      <c r="G6" s="3">
        <v>16.03</v>
      </c>
      <c r="H6" s="3">
        <v>1.7805299999999999</v>
      </c>
      <c r="I6" s="3">
        <v>17.1952</v>
      </c>
      <c r="J6" s="3">
        <v>3.0137700000000001</v>
      </c>
      <c r="K6" s="3">
        <v>20.449100000000001</v>
      </c>
      <c r="L6" s="3">
        <v>7.1856499999999999</v>
      </c>
      <c r="M6" s="3">
        <v>5.7948000000000004</v>
      </c>
    </row>
    <row r="7" spans="1:13" x14ac:dyDescent="0.35">
      <c r="A7" s="7">
        <v>43190</v>
      </c>
      <c r="B7" s="4">
        <v>13.6235</v>
      </c>
      <c r="C7" s="4">
        <v>28.053000000000001</v>
      </c>
      <c r="D7" s="4">
        <v>18.115200000000002</v>
      </c>
      <c r="E7" s="4">
        <v>17.8916</v>
      </c>
      <c r="F7" s="4">
        <v>1.9515</v>
      </c>
      <c r="G7" s="4">
        <v>15.3375</v>
      </c>
      <c r="H7" s="4">
        <v>1.76227</v>
      </c>
      <c r="I7" s="4">
        <v>16.677499999999998</v>
      </c>
      <c r="J7" s="4">
        <v>2.9120300000000001</v>
      </c>
      <c r="K7" s="4">
        <v>21.085999999999999</v>
      </c>
      <c r="L7" s="4">
        <v>7.0592600000000001</v>
      </c>
      <c r="M7" s="4">
        <v>5.7716000000000003</v>
      </c>
    </row>
    <row r="8" spans="1:13" x14ac:dyDescent="0.35">
      <c r="A8" s="6">
        <v>43281</v>
      </c>
      <c r="B8" s="3">
        <v>13.537100000000001</v>
      </c>
      <c r="C8" s="3">
        <v>30.346900000000002</v>
      </c>
      <c r="D8" s="3">
        <v>19.375</v>
      </c>
      <c r="E8" s="3">
        <v>20.6648</v>
      </c>
      <c r="F8" s="3">
        <v>2.1142699999999999</v>
      </c>
      <c r="G8" s="3">
        <v>15.5524</v>
      </c>
      <c r="H8" s="3">
        <v>1.76403</v>
      </c>
      <c r="I8" s="3">
        <v>16.362500000000001</v>
      </c>
      <c r="J8" s="3">
        <v>3.2506400000000002</v>
      </c>
      <c r="K8" s="3">
        <v>22.565200000000001</v>
      </c>
      <c r="L8" s="3">
        <v>7.1779000000000002</v>
      </c>
      <c r="M8" s="3">
        <v>5.65</v>
      </c>
    </row>
    <row r="9" spans="1:13" x14ac:dyDescent="0.35">
      <c r="A9" s="7">
        <v>43373</v>
      </c>
      <c r="B9" s="4">
        <v>13.0754</v>
      </c>
      <c r="C9" s="4">
        <v>31.5502</v>
      </c>
      <c r="D9" s="4">
        <v>21.35</v>
      </c>
      <c r="E9" s="4">
        <v>22.754300000000001</v>
      </c>
      <c r="F9" s="4">
        <v>2.2715900000000002</v>
      </c>
      <c r="G9" s="4">
        <v>15.586399999999999</v>
      </c>
      <c r="H9" s="4">
        <v>1.8069299999999999</v>
      </c>
      <c r="I9" s="4">
        <v>15.1594</v>
      </c>
      <c r="J9" s="4">
        <v>3.3292899999999999</v>
      </c>
      <c r="K9" s="4">
        <v>24.684999999999999</v>
      </c>
      <c r="L9" s="4">
        <v>7.2795899999999998</v>
      </c>
      <c r="M9" s="4">
        <v>5.5216000000000003</v>
      </c>
    </row>
    <row r="10" spans="1:13" x14ac:dyDescent="0.35">
      <c r="A10" s="6">
        <v>43464</v>
      </c>
      <c r="B10" s="3">
        <v>13.464</v>
      </c>
      <c r="C10" s="3">
        <v>34.8581</v>
      </c>
      <c r="D10" s="3">
        <v>20.2333</v>
      </c>
      <c r="E10" s="3">
        <v>25.312200000000001</v>
      </c>
      <c r="F10" s="3">
        <v>2.3192300000000001</v>
      </c>
      <c r="G10" s="3">
        <v>15.308299999999999</v>
      </c>
      <c r="H10" s="3">
        <v>1.7261299999999999</v>
      </c>
      <c r="I10" s="3">
        <v>14.8309</v>
      </c>
      <c r="J10" s="3">
        <v>3.3197000000000001</v>
      </c>
      <c r="K10" s="3">
        <v>22.396699999999999</v>
      </c>
      <c r="L10" s="3">
        <v>7.4026899999999998</v>
      </c>
      <c r="M10" s="3">
        <v>5.5181800000000001</v>
      </c>
    </row>
    <row r="11" spans="1:13" x14ac:dyDescent="0.35">
      <c r="A11" s="7">
        <v>43555</v>
      </c>
      <c r="B11" s="4">
        <v>14.934900000000001</v>
      </c>
      <c r="C11" s="4">
        <v>37.278100000000002</v>
      </c>
      <c r="D11" s="4">
        <v>21.118400000000001</v>
      </c>
      <c r="E11" s="4">
        <v>30.658300000000001</v>
      </c>
      <c r="F11" s="4">
        <v>2.5924700000000001</v>
      </c>
      <c r="G11" s="4">
        <v>15.581300000000001</v>
      </c>
      <c r="H11" s="4">
        <v>1.51488</v>
      </c>
      <c r="I11" s="4">
        <v>15.0581</v>
      </c>
      <c r="J11" s="4">
        <v>3.48685</v>
      </c>
      <c r="K11" s="4">
        <v>24.092500000000001</v>
      </c>
      <c r="L11" s="4">
        <v>7.7904200000000001</v>
      </c>
      <c r="M11" s="4">
        <v>5.8505000000000003</v>
      </c>
    </row>
    <row r="12" spans="1:13" x14ac:dyDescent="0.35">
      <c r="A12" s="6">
        <v>43646</v>
      </c>
      <c r="B12" s="3">
        <v>16.316600000000001</v>
      </c>
      <c r="C12" s="3">
        <v>39.711599999999997</v>
      </c>
      <c r="D12" s="3">
        <v>20.897200000000002</v>
      </c>
      <c r="E12" s="3">
        <v>34.2485</v>
      </c>
      <c r="F12" s="3">
        <v>2.7514099999999999</v>
      </c>
      <c r="G12" s="3">
        <v>15.585699999999999</v>
      </c>
      <c r="H12" s="3">
        <v>1.14384</v>
      </c>
      <c r="I12" s="3">
        <v>13.7239</v>
      </c>
      <c r="J12" s="3">
        <v>3.57036</v>
      </c>
      <c r="K12" s="3">
        <v>25.497399999999999</v>
      </c>
      <c r="L12" s="3">
        <v>8.5592299999999994</v>
      </c>
      <c r="M12" s="3">
        <v>6.2294700000000001</v>
      </c>
    </row>
    <row r="13" spans="1:13" x14ac:dyDescent="0.35">
      <c r="A13" s="7">
        <v>43738</v>
      </c>
      <c r="B13" s="4">
        <v>16.3752</v>
      </c>
      <c r="C13" s="4">
        <v>47.514899999999997</v>
      </c>
      <c r="D13" s="4">
        <v>21.85</v>
      </c>
      <c r="E13" s="4">
        <v>34.073700000000002</v>
      </c>
      <c r="F13" s="4">
        <v>2.7321300000000002</v>
      </c>
      <c r="G13" s="4">
        <v>15.9937</v>
      </c>
      <c r="H13" s="4">
        <v>0.87739699999999998</v>
      </c>
      <c r="I13" s="4">
        <v>14.322100000000001</v>
      </c>
      <c r="J13" s="4">
        <v>3.8256899999999998</v>
      </c>
      <c r="K13" s="4">
        <v>28.214300000000001</v>
      </c>
      <c r="L13" s="4">
        <v>9.1015700000000006</v>
      </c>
      <c r="M13" s="4">
        <v>6.83</v>
      </c>
    </row>
    <row r="14" spans="1:13" x14ac:dyDescent="0.35">
      <c r="A14" s="6">
        <v>43829</v>
      </c>
      <c r="B14" s="3">
        <v>17.8553</v>
      </c>
      <c r="C14" s="3">
        <v>47.61</v>
      </c>
      <c r="D14" s="3">
        <v>22.9467</v>
      </c>
      <c r="E14" s="3">
        <v>34.744399999999999</v>
      </c>
      <c r="F14" s="3">
        <v>2.9965600000000001</v>
      </c>
      <c r="G14" s="3">
        <v>16.731300000000001</v>
      </c>
      <c r="H14" s="3">
        <v>0.98684400000000005</v>
      </c>
      <c r="I14" s="3">
        <v>16.037199999999999</v>
      </c>
      <c r="J14" s="3">
        <v>3.8793000000000002</v>
      </c>
      <c r="K14" s="3">
        <v>28.909099999999999</v>
      </c>
      <c r="L14" s="3">
        <v>9.2658299999999993</v>
      </c>
      <c r="M14" s="3">
        <v>7.4286399999999997</v>
      </c>
    </row>
    <row r="15" spans="1:13" x14ac:dyDescent="0.35">
      <c r="A15" s="7">
        <v>43921</v>
      </c>
      <c r="B15" s="4">
        <v>18.220800000000001</v>
      </c>
      <c r="C15" s="4">
        <v>52.072600000000001</v>
      </c>
      <c r="D15" s="4">
        <v>19.3444</v>
      </c>
      <c r="E15" s="4">
        <v>36.535299999999999</v>
      </c>
      <c r="F15" s="4">
        <v>3.5184600000000001</v>
      </c>
      <c r="G15" s="4">
        <v>15.763199999999999</v>
      </c>
      <c r="H15" s="4">
        <v>0.86138199999999998</v>
      </c>
      <c r="I15" s="4">
        <v>16.714200000000002</v>
      </c>
      <c r="J15" s="4">
        <v>4.4290900000000004</v>
      </c>
      <c r="K15" s="4">
        <v>31.681799999999999</v>
      </c>
      <c r="L15" s="4">
        <v>9.9329599999999996</v>
      </c>
      <c r="M15" s="4">
        <v>7.8304299999999998</v>
      </c>
    </row>
    <row r="16" spans="1:13" x14ac:dyDescent="0.35">
      <c r="A16" s="6">
        <v>44012</v>
      </c>
      <c r="B16" s="3">
        <v>18.4557</v>
      </c>
      <c r="C16" s="3">
        <v>54.854700000000001</v>
      </c>
      <c r="D16" s="3">
        <v>17.86</v>
      </c>
      <c r="E16" s="3">
        <v>36.310499999999998</v>
      </c>
      <c r="F16" s="3">
        <v>4.2606400000000004</v>
      </c>
      <c r="G16" s="3">
        <v>13.3553</v>
      </c>
      <c r="H16" s="3">
        <v>0.53970600000000002</v>
      </c>
      <c r="I16" s="3">
        <v>15.021800000000001</v>
      </c>
      <c r="J16" s="3">
        <v>4.4279400000000004</v>
      </c>
      <c r="K16" s="3">
        <v>32.450000000000003</v>
      </c>
      <c r="L16" s="3">
        <v>10.1142</v>
      </c>
      <c r="M16" s="3">
        <v>7.8737500000000002</v>
      </c>
    </row>
    <row r="17" spans="1:13" x14ac:dyDescent="0.35">
      <c r="A17" s="7">
        <v>44104</v>
      </c>
      <c r="B17" s="4">
        <v>23.7514</v>
      </c>
      <c r="C17" s="4">
        <v>64.796400000000006</v>
      </c>
      <c r="D17" s="4">
        <v>19.315000000000001</v>
      </c>
      <c r="E17" s="4">
        <v>45.57</v>
      </c>
      <c r="F17" s="4">
        <v>5.2404799999999998</v>
      </c>
      <c r="G17" s="4">
        <v>14.4682</v>
      </c>
      <c r="H17" s="4">
        <v>0.59803499999999998</v>
      </c>
      <c r="I17" s="4">
        <v>15.6305</v>
      </c>
      <c r="J17" s="4">
        <v>4.7692199999999998</v>
      </c>
      <c r="K17" s="4">
        <v>37.380000000000003</v>
      </c>
      <c r="L17" s="4">
        <v>11.0571</v>
      </c>
      <c r="M17" s="4">
        <v>8.4872700000000005</v>
      </c>
    </row>
    <row r="18" spans="1:13" x14ac:dyDescent="0.35">
      <c r="A18" s="6">
        <v>44195</v>
      </c>
      <c r="B18" s="3">
        <v>29.576599999999999</v>
      </c>
      <c r="C18" s="3">
        <v>72.911600000000007</v>
      </c>
      <c r="D18" s="3">
        <v>19.475000000000001</v>
      </c>
      <c r="E18" s="3">
        <v>53.109499999999997</v>
      </c>
      <c r="F18" s="3">
        <v>5.73156</v>
      </c>
      <c r="G18" s="3">
        <v>15.091200000000001</v>
      </c>
      <c r="H18" s="3">
        <v>0.60650000000000004</v>
      </c>
      <c r="I18" s="3">
        <v>16.8794</v>
      </c>
      <c r="J18" s="3">
        <v>5.0952900000000003</v>
      </c>
      <c r="K18" s="3">
        <v>39.58</v>
      </c>
      <c r="L18" s="3">
        <v>11.5746</v>
      </c>
      <c r="M18" s="3">
        <v>9.2652199999999993</v>
      </c>
    </row>
    <row r="19" spans="1:13" x14ac:dyDescent="0.35">
      <c r="A19" s="7">
        <v>44286</v>
      </c>
      <c r="B19" s="4">
        <v>33.721800000000002</v>
      </c>
      <c r="C19" s="4">
        <v>82.942599999999999</v>
      </c>
      <c r="D19" s="4">
        <v>21.383299999999998</v>
      </c>
      <c r="E19" s="4">
        <v>55.845500000000001</v>
      </c>
      <c r="F19" s="4">
        <v>6.3816199999999998</v>
      </c>
      <c r="G19" s="4">
        <v>15.421900000000001</v>
      </c>
      <c r="H19" s="4">
        <v>0.74230399999999996</v>
      </c>
      <c r="I19" s="4">
        <v>19.122399999999999</v>
      </c>
      <c r="J19" s="4">
        <v>5.8363199999999997</v>
      </c>
      <c r="K19" s="4">
        <v>40.021700000000003</v>
      </c>
      <c r="L19" s="4">
        <v>12.034599999999999</v>
      </c>
      <c r="M19" s="4">
        <v>9.5785699999999991</v>
      </c>
    </row>
    <row r="20" spans="1:13" x14ac:dyDescent="0.35">
      <c r="A20" s="6">
        <v>44377</v>
      </c>
      <c r="B20" s="3">
        <v>33.607599999999998</v>
      </c>
      <c r="C20" s="3">
        <v>74.253</v>
      </c>
      <c r="D20" s="3">
        <v>22.558800000000002</v>
      </c>
      <c r="E20" s="3">
        <v>55.739100000000001</v>
      </c>
      <c r="F20" s="3">
        <v>7.5521399999999996</v>
      </c>
      <c r="G20" s="3">
        <v>15.6562</v>
      </c>
      <c r="H20" s="3">
        <v>0.76184200000000002</v>
      </c>
      <c r="I20" s="3">
        <v>19.298400000000001</v>
      </c>
      <c r="J20" s="3">
        <v>5.8093700000000004</v>
      </c>
      <c r="K20" s="3">
        <v>40.805599999999998</v>
      </c>
      <c r="L20" s="3">
        <v>12.1854</v>
      </c>
      <c r="M20" s="3">
        <v>9.4326100000000004</v>
      </c>
    </row>
    <row r="21" spans="1:13" x14ac:dyDescent="0.35">
      <c r="A21" s="7">
        <v>44469</v>
      </c>
      <c r="B21" s="4">
        <v>33.438499999999998</v>
      </c>
      <c r="C21" s="4">
        <v>77.727999999999994</v>
      </c>
      <c r="D21" s="4">
        <v>25.82</v>
      </c>
      <c r="E21" s="4">
        <v>57.1143</v>
      </c>
      <c r="F21" s="4">
        <v>10.9696</v>
      </c>
      <c r="G21" s="4">
        <v>16</v>
      </c>
      <c r="H21" s="4">
        <v>0.76252699999999995</v>
      </c>
      <c r="I21" s="4">
        <v>20.0303</v>
      </c>
      <c r="J21" s="4">
        <v>5.7663200000000003</v>
      </c>
      <c r="K21" s="4">
        <v>41.095199999999998</v>
      </c>
      <c r="L21" s="4">
        <v>11.861700000000001</v>
      </c>
      <c r="M21" s="4">
        <v>9.0250000000000004</v>
      </c>
    </row>
    <row r="22" spans="1:13" x14ac:dyDescent="0.35">
      <c r="A22" s="6">
        <v>44560</v>
      </c>
      <c r="B22" s="3">
        <v>30.722000000000001</v>
      </c>
      <c r="C22" s="3">
        <v>73.518500000000003</v>
      </c>
      <c r="D22" s="3">
        <v>26.78</v>
      </c>
      <c r="E22" s="3">
        <v>56.371400000000001</v>
      </c>
      <c r="F22" s="3">
        <v>11.5326</v>
      </c>
      <c r="G22" s="3">
        <v>16.226700000000001</v>
      </c>
      <c r="H22" s="3">
        <v>1.0121500000000001</v>
      </c>
      <c r="I22" s="3">
        <v>20.910900000000002</v>
      </c>
      <c r="J22" s="3">
        <v>5.6838899999999999</v>
      </c>
      <c r="K22" s="3">
        <v>42.414999999999999</v>
      </c>
      <c r="L22" s="3">
        <v>11.8292</v>
      </c>
      <c r="M22" s="3">
        <v>8.7495700000000003</v>
      </c>
    </row>
    <row r="23" spans="1:13" x14ac:dyDescent="0.35">
      <c r="A23" s="7">
        <v>44651</v>
      </c>
      <c r="B23" s="4">
        <v>26.6203</v>
      </c>
      <c r="C23" s="4">
        <v>67.590500000000006</v>
      </c>
      <c r="D23" s="4">
        <v>22.9941</v>
      </c>
      <c r="E23" s="4">
        <v>50.368400000000001</v>
      </c>
      <c r="F23" s="4">
        <v>9.5689100000000007</v>
      </c>
      <c r="G23" s="4">
        <v>17.178599999999999</v>
      </c>
      <c r="H23" s="4">
        <v>1.0686500000000001</v>
      </c>
      <c r="I23" s="4">
        <v>21.610299999999999</v>
      </c>
      <c r="J23" s="4">
        <v>5.5166700000000004</v>
      </c>
      <c r="K23" s="4">
        <v>46</v>
      </c>
      <c r="L23" s="4">
        <v>11.895200000000001</v>
      </c>
      <c r="M23" s="4">
        <v>8.3550000000000004</v>
      </c>
    </row>
    <row r="24" spans="1:13" x14ac:dyDescent="0.35">
      <c r="A24" s="6">
        <v>44742</v>
      </c>
      <c r="B24" s="3">
        <v>26.032499999999999</v>
      </c>
      <c r="C24" s="3">
        <v>66.465999999999994</v>
      </c>
      <c r="D24" s="3">
        <v>20.6267</v>
      </c>
      <c r="E24" s="3">
        <v>50.5</v>
      </c>
      <c r="F24" s="3">
        <v>9.9060500000000005</v>
      </c>
      <c r="G24" s="3">
        <v>17.2</v>
      </c>
      <c r="H24" s="3">
        <v>1.2391000000000001</v>
      </c>
      <c r="I24" s="3">
        <v>22.201899999999998</v>
      </c>
      <c r="J24" s="3">
        <v>5.5824999999999996</v>
      </c>
      <c r="K24" s="3">
        <v>48.1</v>
      </c>
      <c r="L24" s="3">
        <v>12.233599999999999</v>
      </c>
      <c r="M24" s="3">
        <v>8.3224999999999998</v>
      </c>
    </row>
    <row r="25" spans="1:13" x14ac:dyDescent="0.35">
      <c r="A25" s="7">
        <v>44834</v>
      </c>
      <c r="B25" s="4">
        <v>25.1953</v>
      </c>
      <c r="C25" s="4">
        <v>66.845699999999994</v>
      </c>
      <c r="D25" s="4">
        <v>16.707699999999999</v>
      </c>
      <c r="E25" s="4">
        <v>54.526299999999999</v>
      </c>
      <c r="F25" s="4">
        <v>10.2407</v>
      </c>
      <c r="G25" s="4">
        <v>18.412400000000002</v>
      </c>
      <c r="H25" s="4">
        <v>1.3849199999999999</v>
      </c>
      <c r="I25" s="4">
        <v>22.700099999999999</v>
      </c>
      <c r="J25" s="4">
        <v>5.9333299999999998</v>
      </c>
      <c r="K25" s="4">
        <v>52.5</v>
      </c>
      <c r="L25" s="4">
        <v>12.148</v>
      </c>
      <c r="M25" s="4">
        <v>7.7839200000000002</v>
      </c>
    </row>
    <row r="26" spans="1:13" x14ac:dyDescent="0.35">
      <c r="A26" s="6">
        <v>44925</v>
      </c>
      <c r="B26" s="3">
        <v>25.708600000000001</v>
      </c>
      <c r="C26" s="3">
        <v>58.173299999999998</v>
      </c>
      <c r="D26" s="3">
        <v>18.366700000000002</v>
      </c>
      <c r="E26" s="3">
        <v>54.263199999999998</v>
      </c>
      <c r="F26" s="3">
        <v>9.7420200000000001</v>
      </c>
      <c r="G26" s="3">
        <v>17.764299999999999</v>
      </c>
      <c r="H26" s="3">
        <v>1.4718100000000001</v>
      </c>
      <c r="I26" s="3">
        <v>22.477599999999999</v>
      </c>
      <c r="J26" s="3">
        <v>5.6050000000000004</v>
      </c>
      <c r="K26" s="3">
        <v>52.3</v>
      </c>
      <c r="L26" s="3">
        <v>11.955299999999999</v>
      </c>
      <c r="M26" s="3">
        <v>7.0244</v>
      </c>
    </row>
    <row r="27" spans="1:13" x14ac:dyDescent="0.35">
      <c r="A27" s="7">
        <v>45016</v>
      </c>
      <c r="B27" s="4">
        <v>28.907</v>
      </c>
      <c r="C27" s="4">
        <v>54.677500000000002</v>
      </c>
      <c r="D27" s="4">
        <v>16.557099999999998</v>
      </c>
      <c r="E27" s="4">
        <v>54.47</v>
      </c>
      <c r="F27" s="4">
        <v>10.7995</v>
      </c>
      <c r="G27" s="4">
        <v>16.629300000000001</v>
      </c>
      <c r="H27" s="4">
        <v>1.56728</v>
      </c>
      <c r="I27" s="4">
        <v>23.157599999999999</v>
      </c>
      <c r="J27" s="4">
        <v>5.6749999999999998</v>
      </c>
      <c r="K27" s="4">
        <v>51.552900000000001</v>
      </c>
      <c r="L27" s="4">
        <v>11.981199999999999</v>
      </c>
      <c r="M27" s="4">
        <v>6.9327100000000002</v>
      </c>
    </row>
    <row r="28" spans="1:13" x14ac:dyDescent="0.35">
      <c r="A28" s="6">
        <v>45107</v>
      </c>
      <c r="B28" s="3">
        <v>28.985099999999999</v>
      </c>
      <c r="C28" s="3">
        <v>55.322499999999998</v>
      </c>
      <c r="D28" s="3">
        <v>15.4786</v>
      </c>
      <c r="E28" s="3">
        <v>50.971400000000003</v>
      </c>
      <c r="F28" s="3">
        <v>10.777100000000001</v>
      </c>
      <c r="G28" s="3">
        <v>17.0123</v>
      </c>
      <c r="H28" s="3">
        <v>1.7174799999999999</v>
      </c>
      <c r="I28" s="3">
        <v>24.736000000000001</v>
      </c>
      <c r="J28" s="3">
        <v>5.7237499999999999</v>
      </c>
      <c r="K28" s="3">
        <v>51.288899999999998</v>
      </c>
      <c r="L28" s="3">
        <v>12.3424</v>
      </c>
      <c r="M28" s="3">
        <v>7.2654899999999998</v>
      </c>
    </row>
    <row r="29" spans="1:13" x14ac:dyDescent="0.35">
      <c r="A29" s="7">
        <v>45199</v>
      </c>
      <c r="B29" s="4">
        <v>27.151</v>
      </c>
      <c r="C29" s="4">
        <v>43.7744</v>
      </c>
      <c r="D29" s="4">
        <v>14.7125</v>
      </c>
      <c r="E29" s="4">
        <v>47.05</v>
      </c>
      <c r="F29" s="4">
        <v>8.0947800000000001</v>
      </c>
      <c r="G29" s="4">
        <v>18.195</v>
      </c>
      <c r="H29" s="4">
        <v>2.01003</v>
      </c>
      <c r="I29" s="4">
        <v>24.477499999999999</v>
      </c>
      <c r="J29" s="4">
        <v>5.5517599999999998</v>
      </c>
      <c r="K29" s="4">
        <v>52.683300000000003</v>
      </c>
      <c r="L29" s="4">
        <v>12.5387</v>
      </c>
      <c r="M29" s="4">
        <v>7.6802400000000004</v>
      </c>
    </row>
    <row r="30" spans="1:13" x14ac:dyDescent="0.35">
      <c r="A30" s="6">
        <v>45290</v>
      </c>
      <c r="B30" s="3">
        <v>26.475000000000001</v>
      </c>
      <c r="C30" s="3">
        <v>32.262099999999997</v>
      </c>
      <c r="D30" s="3">
        <v>14.3813</v>
      </c>
      <c r="E30" s="3">
        <v>44</v>
      </c>
      <c r="F30" s="3">
        <v>7.2759999999999998</v>
      </c>
      <c r="G30" s="3">
        <v>18.584599999999998</v>
      </c>
      <c r="H30" s="3">
        <v>2.0451100000000002</v>
      </c>
      <c r="I30" s="3">
        <v>24.754000000000001</v>
      </c>
      <c r="J30" s="3">
        <v>5.5238899999999997</v>
      </c>
      <c r="K30" s="3">
        <v>52.9833</v>
      </c>
      <c r="L30" s="3">
        <v>12.47</v>
      </c>
      <c r="M30" s="3">
        <v>7.5824999999999996</v>
      </c>
    </row>
    <row r="31" spans="1:13" x14ac:dyDescent="0.35">
      <c r="A31" s="7">
        <v>45382</v>
      </c>
      <c r="B31" s="4">
        <v>29.361499999999999</v>
      </c>
      <c r="C31" s="4">
        <v>34.653199999999998</v>
      </c>
      <c r="D31" s="4">
        <v>12.923500000000001</v>
      </c>
      <c r="E31" s="4">
        <v>37.65</v>
      </c>
      <c r="F31" s="4">
        <v>5.4954499999999999</v>
      </c>
      <c r="G31" s="4">
        <v>18.384599999999999</v>
      </c>
      <c r="H31" s="4">
        <v>2.0150299999999999</v>
      </c>
      <c r="I31" s="4">
        <v>24.2029</v>
      </c>
      <c r="J31" s="4">
        <v>5.0194099999999997</v>
      </c>
      <c r="K31" s="4">
        <v>45.938200000000002</v>
      </c>
      <c r="L31" s="4">
        <v>12.5778</v>
      </c>
      <c r="M31" s="4">
        <v>7.5949999999999998</v>
      </c>
    </row>
    <row r="32" spans="1:13" x14ac:dyDescent="0.35">
      <c r="A32" s="6">
        <v>45473</v>
      </c>
      <c r="B32" s="3">
        <v>28.927299999999999</v>
      </c>
      <c r="C32" s="3">
        <v>34.219799999999999</v>
      </c>
      <c r="D32" s="3">
        <v>13.542899999999999</v>
      </c>
      <c r="E32" s="3">
        <v>27.285699999999999</v>
      </c>
      <c r="F32" s="3">
        <v>4.7891599999999999</v>
      </c>
      <c r="G32" s="3">
        <v>18.438500000000001</v>
      </c>
      <c r="H32" s="3">
        <v>2.0024799999999998</v>
      </c>
      <c r="I32" s="3">
        <v>24.819299999999998</v>
      </c>
      <c r="J32" s="3">
        <v>4.6831300000000002</v>
      </c>
      <c r="K32" s="3">
        <v>45.246899999999997</v>
      </c>
      <c r="L32" s="3">
        <v>12.9701</v>
      </c>
      <c r="M32" s="3">
        <v>7.5578900000000004</v>
      </c>
    </row>
    <row r="33" spans="1:14" x14ac:dyDescent="0.35">
      <c r="A33" s="7">
        <v>45565</v>
      </c>
      <c r="B33" s="4">
        <v>27.245200000000001</v>
      </c>
      <c r="C33" s="4">
        <v>34.526699999999998</v>
      </c>
      <c r="D33" s="4">
        <v>14.65</v>
      </c>
      <c r="E33" s="4">
        <v>22.390499999999999</v>
      </c>
      <c r="F33" s="4">
        <v>4.65543</v>
      </c>
      <c r="G33" s="4">
        <v>18.8385</v>
      </c>
      <c r="H33" s="4">
        <v>2.05335</v>
      </c>
      <c r="I33" s="4">
        <v>26.239899999999999</v>
      </c>
      <c r="J33" s="4">
        <v>4.7147100000000002</v>
      </c>
      <c r="K33" s="4">
        <v>43.614699999999999</v>
      </c>
      <c r="L33" s="4">
        <v>13.7105</v>
      </c>
      <c r="M33" s="4">
        <v>7.78</v>
      </c>
    </row>
    <row r="34" spans="1:14" x14ac:dyDescent="0.35">
      <c r="A34" s="6">
        <v>45656</v>
      </c>
      <c r="B34" s="3">
        <v>21.418900000000001</v>
      </c>
      <c r="C34" s="3">
        <v>33.456699999999998</v>
      </c>
      <c r="D34" s="3">
        <v>14.4133</v>
      </c>
      <c r="E34" s="3">
        <v>18.664999999999999</v>
      </c>
      <c r="F34" s="3">
        <v>4.4824599999999997</v>
      </c>
      <c r="G34" s="3">
        <v>18.831199999999999</v>
      </c>
      <c r="H34" s="3">
        <v>2.0548799999999998</v>
      </c>
      <c r="I34" s="3">
        <v>26.163900000000002</v>
      </c>
      <c r="J34" s="3">
        <v>4.2941200000000004</v>
      </c>
      <c r="K34" s="3">
        <v>42.585299999999997</v>
      </c>
      <c r="L34" s="3">
        <v>14.3071</v>
      </c>
      <c r="M34" s="3">
        <v>7.9912999999999998</v>
      </c>
    </row>
    <row r="35" spans="1:14" x14ac:dyDescent="0.35">
      <c r="A35" s="7">
        <v>45747</v>
      </c>
      <c r="B35" s="4">
        <v>19.206900000000001</v>
      </c>
      <c r="C35" s="4">
        <v>26.683399999999999</v>
      </c>
      <c r="D35" s="4">
        <v>13.8118</v>
      </c>
      <c r="E35" s="4">
        <v>13.8238</v>
      </c>
      <c r="F35" s="4">
        <v>4.3538899999999998</v>
      </c>
      <c r="G35" s="4">
        <v>19.574999999999999</v>
      </c>
      <c r="H35" s="4">
        <v>2.1249600000000002</v>
      </c>
      <c r="I35" s="4">
        <v>24.575199999999999</v>
      </c>
      <c r="J35" s="4">
        <v>3.8852899999999999</v>
      </c>
      <c r="K35" s="4">
        <v>41.961100000000002</v>
      </c>
      <c r="L35" s="4">
        <v>14.5891</v>
      </c>
      <c r="M35" s="4">
        <v>8.0545500000000008</v>
      </c>
    </row>
    <row r="36" spans="1:14" x14ac:dyDescent="0.35">
      <c r="A36" s="6">
        <v>45838</v>
      </c>
      <c r="B36" s="3">
        <v>17.8932</v>
      </c>
      <c r="C36" s="3">
        <v>22.553699999999999</v>
      </c>
      <c r="D36" s="3">
        <v>13.7</v>
      </c>
      <c r="E36" s="3">
        <v>12.686400000000001</v>
      </c>
      <c r="F36" s="3">
        <v>4.04643</v>
      </c>
      <c r="G36" s="3">
        <v>21.273299999999999</v>
      </c>
      <c r="H36" s="3">
        <v>2.0546199999999999</v>
      </c>
      <c r="I36" s="3">
        <v>24.311499999999999</v>
      </c>
      <c r="J36" s="3">
        <v>4.1074999999999999</v>
      </c>
      <c r="K36" s="3">
        <v>41.841200000000001</v>
      </c>
      <c r="L36" s="3">
        <v>15.8352</v>
      </c>
      <c r="M36" s="3">
        <v>8.4545499999999993</v>
      </c>
    </row>
    <row r="37" spans="1:14" x14ac:dyDescent="0.35">
      <c r="A37" s="7">
        <v>45930</v>
      </c>
      <c r="B37" s="4">
        <v>18.9587</v>
      </c>
      <c r="C37" s="4">
        <v>16.662700000000001</v>
      </c>
      <c r="D37" s="4">
        <v>14.073700000000001</v>
      </c>
      <c r="E37" s="4">
        <v>16.773900000000001</v>
      </c>
      <c r="F37" s="4">
        <v>4.5327099999999998</v>
      </c>
      <c r="G37" s="4">
        <v>21.833300000000001</v>
      </c>
      <c r="H37" s="4">
        <v>2.1795599999999999</v>
      </c>
      <c r="I37" s="4">
        <v>25.7438</v>
      </c>
      <c r="J37" s="4">
        <v>4.3638899999999996</v>
      </c>
      <c r="K37" s="4">
        <v>42.633299999999998</v>
      </c>
      <c r="L37" s="4">
        <v>16.776800000000001</v>
      </c>
      <c r="M37" s="4">
        <v>8.5809499999999996</v>
      </c>
    </row>
    <row r="38" spans="1:14" x14ac:dyDescent="0.35">
      <c r="A38" s="6">
        <v>46021</v>
      </c>
      <c r="B38" s="3">
        <v>22.1403</v>
      </c>
      <c r="C38" s="3">
        <v>18.2971</v>
      </c>
      <c r="D38" s="3">
        <v>15.742900000000001</v>
      </c>
      <c r="E38" s="3">
        <v>20.4727</v>
      </c>
      <c r="F38" s="3">
        <v>3.9990999999999999</v>
      </c>
      <c r="G38" s="3">
        <v>24.323499999999999</v>
      </c>
      <c r="H38" s="3">
        <v>2.2280500000000001</v>
      </c>
      <c r="I38" s="3">
        <v>28.206</v>
      </c>
      <c r="J38" s="3">
        <v>4.54</v>
      </c>
      <c r="K38" s="3">
        <v>49.736800000000002</v>
      </c>
      <c r="L38" s="3">
        <v>17.904800000000002</v>
      </c>
      <c r="M38" s="3">
        <v>9.3049999999999997</v>
      </c>
    </row>
    <row r="40" spans="1:14" x14ac:dyDescent="0.35">
      <c r="N40" s="2"/>
    </row>
    <row r="41" spans="1:14" x14ac:dyDescent="0.35">
      <c r="N41" s="2"/>
    </row>
    <row r="42" spans="1:14" x14ac:dyDescent="0.35">
      <c r="N42" s="2"/>
    </row>
    <row r="43" spans="1:14" x14ac:dyDescent="0.35">
      <c r="N43" s="2"/>
    </row>
    <row r="44" spans="1:14" x14ac:dyDescent="0.35">
      <c r="N44" s="2"/>
    </row>
    <row r="45" spans="1:14" x14ac:dyDescent="0.35">
      <c r="N45" s="2"/>
    </row>
    <row r="46" spans="1:14" x14ac:dyDescent="0.35">
      <c r="N46" s="2"/>
    </row>
    <row r="47" spans="1:14" x14ac:dyDescent="0.35">
      <c r="N47" s="2"/>
    </row>
    <row r="48" spans="1:14" x14ac:dyDescent="0.35">
      <c r="N48" s="2"/>
    </row>
    <row r="49" spans="14:14" x14ac:dyDescent="0.35">
      <c r="N49" s="2"/>
    </row>
    <row r="50" spans="14:14" x14ac:dyDescent="0.35">
      <c r="N50" s="2"/>
    </row>
    <row r="51" spans="14:14" x14ac:dyDescent="0.35">
      <c r="N51" s="2"/>
    </row>
    <row r="52" spans="14:14" x14ac:dyDescent="0.35">
      <c r="N52" s="2"/>
    </row>
    <row r="53" spans="14:14" x14ac:dyDescent="0.35">
      <c r="N53" s="2"/>
    </row>
    <row r="54" spans="14:14" x14ac:dyDescent="0.35">
      <c r="N54" s="2"/>
    </row>
    <row r="55" spans="14:14" x14ac:dyDescent="0.35">
      <c r="N55" s="2"/>
    </row>
    <row r="56" spans="14:14" x14ac:dyDescent="0.35">
      <c r="N56" s="2"/>
    </row>
    <row r="57" spans="14:14" x14ac:dyDescent="0.35">
      <c r="N5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ED662-0A84-4039-849D-07FECEDC444F}">
  <dimension ref="A1:B123"/>
  <sheetViews>
    <sheetView topLeftCell="A105" workbookViewId="0">
      <selection activeCell="E119" sqref="E119"/>
    </sheetView>
  </sheetViews>
  <sheetFormatPr defaultRowHeight="14.5" x14ac:dyDescent="0.35"/>
  <cols>
    <col min="1" max="1" width="10.08984375" bestFit="1" customWidth="1"/>
  </cols>
  <sheetData>
    <row r="1" spans="1:2" x14ac:dyDescent="0.35">
      <c r="A1" s="1" t="s">
        <v>13</v>
      </c>
      <c r="B1" s="1" t="s">
        <v>14</v>
      </c>
    </row>
    <row r="2" spans="1:2" x14ac:dyDescent="0.35">
      <c r="A2" s="15">
        <v>42398</v>
      </c>
      <c r="B2" s="4">
        <v>115.371092488391</v>
      </c>
    </row>
    <row r="3" spans="1:2" x14ac:dyDescent="0.35">
      <c r="A3" s="16">
        <v>42429</v>
      </c>
      <c r="B3" s="3">
        <v>112.49868776877101</v>
      </c>
    </row>
    <row r="4" spans="1:2" x14ac:dyDescent="0.35">
      <c r="A4" s="15">
        <v>42460</v>
      </c>
      <c r="B4" s="4">
        <v>113.621266228171</v>
      </c>
    </row>
    <row r="5" spans="1:2" x14ac:dyDescent="0.35">
      <c r="A5" s="16">
        <v>42489</v>
      </c>
      <c r="B5" s="3">
        <v>115.145082767208</v>
      </c>
    </row>
    <row r="6" spans="1:2" x14ac:dyDescent="0.35">
      <c r="A6" s="15">
        <v>42521</v>
      </c>
      <c r="B6" s="4">
        <v>116.858456091397</v>
      </c>
    </row>
    <row r="7" spans="1:2" x14ac:dyDescent="0.35">
      <c r="A7" s="16">
        <v>42551</v>
      </c>
      <c r="B7" s="3">
        <v>111.624423213638</v>
      </c>
    </row>
    <row r="8" spans="1:2" x14ac:dyDescent="0.35">
      <c r="A8" s="15">
        <v>42580</v>
      </c>
      <c r="B8" s="4">
        <v>115.451762270857</v>
      </c>
    </row>
    <row r="9" spans="1:2" x14ac:dyDescent="0.35">
      <c r="A9" s="16">
        <v>42613</v>
      </c>
      <c r="B9" s="3">
        <v>115.92785387668199</v>
      </c>
    </row>
    <row r="10" spans="1:2" x14ac:dyDescent="0.35">
      <c r="A10" s="15">
        <v>42643</v>
      </c>
      <c r="B10" s="4">
        <v>115.81896224747</v>
      </c>
    </row>
    <row r="11" spans="1:2" x14ac:dyDescent="0.35">
      <c r="A11" s="16">
        <v>42674</v>
      </c>
      <c r="B11" s="3">
        <v>114.74590635716901</v>
      </c>
    </row>
    <row r="12" spans="1:2" x14ac:dyDescent="0.35">
      <c r="A12" s="15">
        <v>42704</v>
      </c>
      <c r="B12" s="4">
        <v>115.798122636081</v>
      </c>
    </row>
    <row r="13" spans="1:2" x14ac:dyDescent="0.35">
      <c r="A13" s="16">
        <v>42734</v>
      </c>
      <c r="B13" s="3">
        <v>122.496783508551</v>
      </c>
    </row>
    <row r="14" spans="1:2" x14ac:dyDescent="0.35">
      <c r="A14" s="15">
        <v>42766</v>
      </c>
      <c r="B14" s="4">
        <v>121.989764415113</v>
      </c>
    </row>
    <row r="15" spans="1:2" x14ac:dyDescent="0.35">
      <c r="A15" s="16">
        <v>42794</v>
      </c>
      <c r="B15" s="3">
        <v>125.217931974799</v>
      </c>
    </row>
    <row r="16" spans="1:2" x14ac:dyDescent="0.35">
      <c r="A16" s="15">
        <v>42825</v>
      </c>
      <c r="B16" s="4">
        <v>128.934043333098</v>
      </c>
    </row>
    <row r="17" spans="1:2" x14ac:dyDescent="0.35">
      <c r="A17" s="16">
        <v>42853</v>
      </c>
      <c r="B17" s="3">
        <v>130.585490738674</v>
      </c>
    </row>
    <row r="18" spans="1:2" x14ac:dyDescent="0.35">
      <c r="A18" s="15">
        <v>42886</v>
      </c>
      <c r="B18" s="4">
        <v>131.619050721294</v>
      </c>
    </row>
    <row r="19" spans="1:2" x14ac:dyDescent="0.35">
      <c r="A19" s="16">
        <v>42916</v>
      </c>
      <c r="B19" s="3">
        <v>128.07806526822799</v>
      </c>
    </row>
    <row r="20" spans="1:2" x14ac:dyDescent="0.35">
      <c r="A20" s="15">
        <v>42947</v>
      </c>
      <c r="B20" s="4">
        <v>127.54474659944201</v>
      </c>
    </row>
    <row r="21" spans="1:2" x14ac:dyDescent="0.35">
      <c r="A21" s="16">
        <v>42978</v>
      </c>
      <c r="B21" s="3">
        <v>126.19509047210801</v>
      </c>
    </row>
    <row r="22" spans="1:2" x14ac:dyDescent="0.35">
      <c r="A22" s="15">
        <v>43007</v>
      </c>
      <c r="B22" s="4">
        <v>131.00660447979999</v>
      </c>
    </row>
    <row r="23" spans="1:2" x14ac:dyDescent="0.35">
      <c r="A23" s="16">
        <v>43039</v>
      </c>
      <c r="B23" s="3">
        <v>133.45770366553299</v>
      </c>
    </row>
    <row r="24" spans="1:2" x14ac:dyDescent="0.35">
      <c r="A24" s="15">
        <v>43069</v>
      </c>
      <c r="B24" s="4">
        <v>130.46319220848099</v>
      </c>
    </row>
    <row r="25" spans="1:2" x14ac:dyDescent="0.35">
      <c r="A25" s="16">
        <v>43098</v>
      </c>
      <c r="B25" s="3">
        <v>131.410664848088</v>
      </c>
    </row>
    <row r="26" spans="1:2" x14ac:dyDescent="0.35">
      <c r="A26" s="15">
        <v>43131</v>
      </c>
      <c r="B26" s="4">
        <v>133.460840853484</v>
      </c>
    </row>
    <row r="27" spans="1:2" x14ac:dyDescent="0.35">
      <c r="A27" s="16">
        <v>43159</v>
      </c>
      <c r="B27" s="3">
        <v>128.01933985206099</v>
      </c>
    </row>
    <row r="28" spans="1:2" x14ac:dyDescent="0.35">
      <c r="A28" s="15">
        <v>43189</v>
      </c>
      <c r="B28" s="4">
        <v>125.014259171562</v>
      </c>
    </row>
    <row r="29" spans="1:2" x14ac:dyDescent="0.35">
      <c r="A29" s="16">
        <v>43220</v>
      </c>
      <c r="B29" s="3">
        <v>130.03509796825199</v>
      </c>
    </row>
    <row r="30" spans="1:2" x14ac:dyDescent="0.35">
      <c r="A30" s="15">
        <v>43251</v>
      </c>
      <c r="B30" s="4">
        <v>129.20600274944201</v>
      </c>
    </row>
    <row r="31" spans="1:2" x14ac:dyDescent="0.35">
      <c r="A31" s="16">
        <v>43280</v>
      </c>
      <c r="B31" s="3">
        <v>128.07942190220101</v>
      </c>
    </row>
    <row r="32" spans="1:2" x14ac:dyDescent="0.35">
      <c r="A32" s="15">
        <v>43312</v>
      </c>
      <c r="B32" s="4">
        <v>131.99631578533399</v>
      </c>
    </row>
    <row r="33" spans="1:2" x14ac:dyDescent="0.35">
      <c r="A33" s="16">
        <v>43343</v>
      </c>
      <c r="B33" s="3">
        <v>128.675697087548</v>
      </c>
    </row>
    <row r="34" spans="1:2" x14ac:dyDescent="0.35">
      <c r="A34" s="15">
        <v>43371</v>
      </c>
      <c r="B34" s="4">
        <v>129.25056581553901</v>
      </c>
    </row>
    <row r="35" spans="1:2" x14ac:dyDescent="0.35">
      <c r="A35" s="16">
        <v>43404</v>
      </c>
      <c r="B35" s="3">
        <v>122.260659878827</v>
      </c>
    </row>
    <row r="36" spans="1:2" x14ac:dyDescent="0.35">
      <c r="A36" s="15">
        <v>43434</v>
      </c>
      <c r="B36" s="4">
        <v>120.988414448168</v>
      </c>
    </row>
    <row r="37" spans="1:2" x14ac:dyDescent="0.35">
      <c r="A37" s="16">
        <v>43465</v>
      </c>
      <c r="B37" s="3">
        <v>114.201511031645</v>
      </c>
    </row>
    <row r="38" spans="1:2" x14ac:dyDescent="0.35">
      <c r="A38" s="15">
        <v>43496</v>
      </c>
      <c r="B38" s="4">
        <v>121.131867665063</v>
      </c>
    </row>
    <row r="39" spans="1:2" x14ac:dyDescent="0.35">
      <c r="A39" s="16">
        <v>43524</v>
      </c>
      <c r="B39" s="3">
        <v>125.866816110877</v>
      </c>
    </row>
    <row r="40" spans="1:2" x14ac:dyDescent="0.35">
      <c r="A40" s="15">
        <v>43553</v>
      </c>
      <c r="B40" s="4">
        <v>127.907853907942</v>
      </c>
    </row>
    <row r="41" spans="1:2" x14ac:dyDescent="0.35">
      <c r="A41" s="16">
        <v>43585</v>
      </c>
      <c r="B41" s="3">
        <v>132.03527791715001</v>
      </c>
    </row>
    <row r="42" spans="1:2" x14ac:dyDescent="0.35">
      <c r="A42" s="15">
        <v>43616</v>
      </c>
      <c r="B42" s="4">
        <v>124.472069399427</v>
      </c>
    </row>
    <row r="43" spans="1:2" x14ac:dyDescent="0.35">
      <c r="A43" s="16">
        <v>43644</v>
      </c>
      <c r="B43" s="3">
        <v>129.77095221548501</v>
      </c>
    </row>
    <row r="44" spans="1:2" x14ac:dyDescent="0.35">
      <c r="A44" s="15">
        <v>43677</v>
      </c>
      <c r="B44" s="4">
        <v>130.09309557665</v>
      </c>
    </row>
    <row r="45" spans="1:2" x14ac:dyDescent="0.35">
      <c r="A45" s="16">
        <v>43707</v>
      </c>
      <c r="B45" s="3">
        <v>127.81530906589801</v>
      </c>
    </row>
    <row r="46" spans="1:2" x14ac:dyDescent="0.35">
      <c r="A46" s="15">
        <v>43738</v>
      </c>
      <c r="B46" s="4">
        <v>132.509504132285</v>
      </c>
    </row>
    <row r="47" spans="1:2" x14ac:dyDescent="0.35">
      <c r="A47" s="16">
        <v>43769</v>
      </c>
      <c r="B47" s="3">
        <v>133.468130620989</v>
      </c>
    </row>
    <row r="48" spans="1:2" x14ac:dyDescent="0.35">
      <c r="A48" s="15">
        <v>43798</v>
      </c>
      <c r="B48" s="4">
        <v>136.85741391965499</v>
      </c>
    </row>
    <row r="49" spans="1:2" x14ac:dyDescent="0.35">
      <c r="A49" s="16">
        <v>43830</v>
      </c>
      <c r="B49" s="3">
        <v>139.600653050489</v>
      </c>
    </row>
    <row r="50" spans="1:2" x14ac:dyDescent="0.35">
      <c r="A50" s="15">
        <v>43861</v>
      </c>
      <c r="B50" s="4">
        <v>137.778376562516</v>
      </c>
    </row>
    <row r="51" spans="1:2" x14ac:dyDescent="0.35">
      <c r="A51" s="16">
        <v>43889</v>
      </c>
      <c r="B51" s="3">
        <v>125.794862327245</v>
      </c>
    </row>
    <row r="52" spans="1:2" x14ac:dyDescent="0.35">
      <c r="A52" s="15">
        <v>43921</v>
      </c>
      <c r="B52" s="4">
        <v>107.38191800580501</v>
      </c>
    </row>
    <row r="53" spans="1:2" x14ac:dyDescent="0.35">
      <c r="A53" s="16">
        <v>43951</v>
      </c>
      <c r="B53" s="3">
        <v>113.662603774728</v>
      </c>
    </row>
    <row r="54" spans="1:2" x14ac:dyDescent="0.35">
      <c r="A54" s="15">
        <v>43980</v>
      </c>
      <c r="B54" s="4">
        <v>116.584612558863</v>
      </c>
    </row>
    <row r="55" spans="1:2" x14ac:dyDescent="0.35">
      <c r="A55" s="16">
        <v>44012</v>
      </c>
      <c r="B55" s="3">
        <v>119.941113662368</v>
      </c>
    </row>
    <row r="56" spans="1:2" x14ac:dyDescent="0.35">
      <c r="A56" s="15">
        <v>44043</v>
      </c>
      <c r="B56" s="4">
        <v>118.119442604708</v>
      </c>
    </row>
    <row r="57" spans="1:2" x14ac:dyDescent="0.35">
      <c r="A57" s="16">
        <v>44074</v>
      </c>
      <c r="B57" s="3">
        <v>121.341748320063</v>
      </c>
    </row>
    <row r="58" spans="1:2" x14ac:dyDescent="0.35">
      <c r="A58" s="15">
        <v>44104</v>
      </c>
      <c r="B58" s="4">
        <v>119.5559916712</v>
      </c>
    </row>
    <row r="59" spans="1:2" x14ac:dyDescent="0.35">
      <c r="A59" s="16">
        <v>44134</v>
      </c>
      <c r="B59" s="3">
        <v>113.464469883999</v>
      </c>
    </row>
    <row r="60" spans="1:2" x14ac:dyDescent="0.35">
      <c r="A60" s="15">
        <v>44165</v>
      </c>
      <c r="B60" s="4">
        <v>129.14275921681099</v>
      </c>
    </row>
    <row r="61" spans="1:2" x14ac:dyDescent="0.35">
      <c r="A61" s="16">
        <v>44196</v>
      </c>
      <c r="B61" s="3">
        <v>132.09507393608999</v>
      </c>
    </row>
    <row r="62" spans="1:2" x14ac:dyDescent="0.35">
      <c r="A62" s="15">
        <v>44225</v>
      </c>
      <c r="B62" s="4">
        <v>131.05340853038001</v>
      </c>
    </row>
    <row r="63" spans="1:2" x14ac:dyDescent="0.35">
      <c r="A63" s="16">
        <v>44253</v>
      </c>
      <c r="B63" s="3">
        <v>134.188079180297</v>
      </c>
    </row>
    <row r="64" spans="1:2" x14ac:dyDescent="0.35">
      <c r="A64" s="15">
        <v>44286</v>
      </c>
      <c r="B64" s="4">
        <v>142.360754789157</v>
      </c>
    </row>
    <row r="65" spans="1:2" x14ac:dyDescent="0.35">
      <c r="A65" s="16">
        <v>44316</v>
      </c>
      <c r="B65" s="3">
        <v>144.69110961195801</v>
      </c>
    </row>
    <row r="66" spans="1:2" x14ac:dyDescent="0.35">
      <c r="A66" s="15">
        <v>44347</v>
      </c>
      <c r="B66" s="4">
        <v>147.76264086307799</v>
      </c>
    </row>
    <row r="67" spans="1:2" x14ac:dyDescent="0.35">
      <c r="A67" s="16">
        <v>44377</v>
      </c>
      <c r="B67" s="3">
        <v>150.073433100183</v>
      </c>
    </row>
    <row r="68" spans="1:2" x14ac:dyDescent="0.35">
      <c r="A68" s="15">
        <v>44407</v>
      </c>
      <c r="B68" s="4">
        <v>152.74489872728</v>
      </c>
    </row>
    <row r="69" spans="1:2" x14ac:dyDescent="0.35">
      <c r="A69" s="16">
        <v>44439</v>
      </c>
      <c r="B69" s="3">
        <v>155.374395507044</v>
      </c>
    </row>
    <row r="70" spans="1:2" x14ac:dyDescent="0.35">
      <c r="A70" s="15">
        <v>44469</v>
      </c>
      <c r="B70" s="4">
        <v>150.57870445839799</v>
      </c>
    </row>
    <row r="71" spans="1:2" x14ac:dyDescent="0.35">
      <c r="A71" s="16">
        <v>44498</v>
      </c>
      <c r="B71" s="3">
        <v>157.40906979181801</v>
      </c>
    </row>
    <row r="72" spans="1:2" x14ac:dyDescent="0.35">
      <c r="A72" s="15">
        <v>44530</v>
      </c>
      <c r="B72" s="4">
        <v>153.28518450631299</v>
      </c>
    </row>
    <row r="73" spans="1:2" x14ac:dyDescent="0.35">
      <c r="A73" s="16">
        <v>44561</v>
      </c>
      <c r="B73" s="3">
        <v>161.669584503435</v>
      </c>
    </row>
    <row r="74" spans="1:2" x14ac:dyDescent="0.35">
      <c r="A74" s="15">
        <v>44592</v>
      </c>
      <c r="B74" s="4">
        <v>156.426580664027</v>
      </c>
    </row>
    <row r="75" spans="1:2" x14ac:dyDescent="0.35">
      <c r="A75" s="16">
        <v>44620</v>
      </c>
      <c r="B75" s="3">
        <v>151.508340166247</v>
      </c>
    </row>
    <row r="76" spans="1:2" x14ac:dyDescent="0.35">
      <c r="A76" s="15">
        <v>44651</v>
      </c>
      <c r="B76" s="4">
        <v>152.14078033151301</v>
      </c>
    </row>
    <row r="77" spans="1:2" x14ac:dyDescent="0.35">
      <c r="A77" s="16">
        <v>44680</v>
      </c>
      <c r="B77" s="3">
        <v>150.49053059617199</v>
      </c>
    </row>
    <row r="78" spans="1:2" x14ac:dyDescent="0.35">
      <c r="A78" s="15">
        <v>44712</v>
      </c>
      <c r="B78" s="4">
        <v>148.267441031479</v>
      </c>
    </row>
    <row r="79" spans="1:2" x14ac:dyDescent="0.35">
      <c r="A79" s="16">
        <v>44742</v>
      </c>
      <c r="B79" s="3">
        <v>136.63449152784901</v>
      </c>
    </row>
    <row r="80" spans="1:2" x14ac:dyDescent="0.35">
      <c r="A80" s="15">
        <v>44771</v>
      </c>
      <c r="B80" s="4">
        <v>146.91414085868499</v>
      </c>
    </row>
    <row r="81" spans="1:2" x14ac:dyDescent="0.35">
      <c r="A81" s="16">
        <v>44804</v>
      </c>
      <c r="B81" s="3">
        <v>139.33235665478799</v>
      </c>
    </row>
    <row r="82" spans="1:2" x14ac:dyDescent="0.35">
      <c r="A82" s="15">
        <v>44834</v>
      </c>
      <c r="B82" s="4">
        <v>130.43684566826701</v>
      </c>
    </row>
    <row r="83" spans="1:2" x14ac:dyDescent="0.35">
      <c r="A83" s="16">
        <v>44865</v>
      </c>
      <c r="B83" s="3">
        <v>138.46116297194001</v>
      </c>
    </row>
    <row r="84" spans="1:2" x14ac:dyDescent="0.35">
      <c r="A84" s="15">
        <v>44895</v>
      </c>
      <c r="B84" s="4">
        <v>147.78514480575899</v>
      </c>
    </row>
    <row r="85" spans="1:2" x14ac:dyDescent="0.35">
      <c r="A85" s="16">
        <v>44925</v>
      </c>
      <c r="B85" s="3">
        <v>142.500263545357</v>
      </c>
    </row>
    <row r="86" spans="1:2" x14ac:dyDescent="0.35">
      <c r="A86" s="15">
        <v>44957</v>
      </c>
      <c r="B86" s="4">
        <v>152.08477530213301</v>
      </c>
    </row>
    <row r="87" spans="1:2" x14ac:dyDescent="0.35">
      <c r="A87" s="16">
        <v>44985</v>
      </c>
      <c r="B87" s="3">
        <v>154.566014134574</v>
      </c>
    </row>
    <row r="88" spans="1:2" x14ac:dyDescent="0.35">
      <c r="A88" s="15">
        <v>45016</v>
      </c>
      <c r="B88" s="4">
        <v>153.827480570181</v>
      </c>
    </row>
    <row r="89" spans="1:2" x14ac:dyDescent="0.35">
      <c r="A89" s="16">
        <v>45044</v>
      </c>
      <c r="B89" s="3">
        <v>156.85843721840101</v>
      </c>
    </row>
    <row r="90" spans="1:2" x14ac:dyDescent="0.35">
      <c r="A90" s="15">
        <v>45077</v>
      </c>
      <c r="B90" s="4">
        <v>151.83730976197799</v>
      </c>
    </row>
    <row r="91" spans="1:2" x14ac:dyDescent="0.35">
      <c r="A91" s="16">
        <v>45107</v>
      </c>
      <c r="B91" s="3">
        <v>155.24545571918799</v>
      </c>
    </row>
    <row r="92" spans="1:2" x14ac:dyDescent="0.35">
      <c r="A92" s="15">
        <v>45138</v>
      </c>
      <c r="B92" s="4">
        <v>158.194039953231</v>
      </c>
    </row>
    <row r="93" spans="1:2" x14ac:dyDescent="0.35">
      <c r="A93" s="16">
        <v>45169</v>
      </c>
      <c r="B93" s="3">
        <v>153.89951649904299</v>
      </c>
    </row>
    <row r="94" spans="1:2" x14ac:dyDescent="0.35">
      <c r="A94" s="15">
        <v>45198</v>
      </c>
      <c r="B94" s="4">
        <v>151.388998007841</v>
      </c>
    </row>
    <row r="95" spans="1:2" x14ac:dyDescent="0.35">
      <c r="A95" s="16">
        <v>45230</v>
      </c>
      <c r="B95" s="3">
        <v>145.873220640537</v>
      </c>
    </row>
    <row r="96" spans="1:2" x14ac:dyDescent="0.35">
      <c r="A96" s="15">
        <v>45260</v>
      </c>
      <c r="B96" s="4">
        <v>154.98796749044899</v>
      </c>
    </row>
    <row r="97" spans="1:2" x14ac:dyDescent="0.35">
      <c r="A97" s="16">
        <v>45289</v>
      </c>
      <c r="B97" s="3">
        <v>160.63903434132001</v>
      </c>
    </row>
    <row r="98" spans="1:2" x14ac:dyDescent="0.35">
      <c r="A98" s="15">
        <v>45322</v>
      </c>
      <c r="B98" s="4">
        <v>163.080982569963</v>
      </c>
    </row>
    <row r="99" spans="1:2" x14ac:dyDescent="0.35">
      <c r="A99" s="16">
        <v>45351</v>
      </c>
      <c r="B99" s="3">
        <v>165.997443491463</v>
      </c>
    </row>
    <row r="100" spans="1:2" x14ac:dyDescent="0.35">
      <c r="A100" s="15">
        <v>45380</v>
      </c>
      <c r="B100" s="4">
        <v>171.86425736442399</v>
      </c>
    </row>
    <row r="101" spans="1:2" x14ac:dyDescent="0.35">
      <c r="A101" s="16">
        <v>45412</v>
      </c>
      <c r="B101" s="3">
        <v>169.36571063999099</v>
      </c>
    </row>
    <row r="102" spans="1:2" x14ac:dyDescent="0.35">
      <c r="A102" s="15">
        <v>45443</v>
      </c>
      <c r="B102" s="4">
        <v>173.669264475689</v>
      </c>
    </row>
    <row r="103" spans="1:2" x14ac:dyDescent="0.35">
      <c r="A103" s="16">
        <v>45471</v>
      </c>
      <c r="B103" s="3">
        <v>171.72201320731301</v>
      </c>
    </row>
    <row r="104" spans="1:2" x14ac:dyDescent="0.35">
      <c r="A104" s="15">
        <v>45504</v>
      </c>
      <c r="B104" s="4">
        <v>173.621311291311</v>
      </c>
    </row>
    <row r="105" spans="1:2" x14ac:dyDescent="0.35">
      <c r="A105" s="16">
        <v>45534</v>
      </c>
      <c r="B105" s="3">
        <v>176.03432219588501</v>
      </c>
    </row>
    <row r="106" spans="1:2" x14ac:dyDescent="0.35">
      <c r="A106" s="15">
        <v>45565</v>
      </c>
      <c r="B106" s="4">
        <v>175.15000311000301</v>
      </c>
    </row>
    <row r="107" spans="1:2" x14ac:dyDescent="0.35">
      <c r="A107" s="16">
        <v>45596</v>
      </c>
      <c r="B107" s="3">
        <v>169.29153867066501</v>
      </c>
    </row>
    <row r="108" spans="1:2" x14ac:dyDescent="0.35">
      <c r="A108" s="15">
        <v>45625</v>
      </c>
      <c r="B108" s="4">
        <v>170.79448594327701</v>
      </c>
    </row>
    <row r="109" spans="1:2" x14ac:dyDescent="0.35">
      <c r="A109" s="16">
        <v>45657</v>
      </c>
      <c r="B109" s="3">
        <v>169.88370534464201</v>
      </c>
    </row>
    <row r="110" spans="1:2" x14ac:dyDescent="0.35">
      <c r="A110" s="15">
        <v>45688</v>
      </c>
      <c r="B110" s="4">
        <v>180.77060780531701</v>
      </c>
    </row>
    <row r="111" spans="1:2" x14ac:dyDescent="0.35">
      <c r="A111" s="16">
        <v>45716</v>
      </c>
      <c r="B111" s="3">
        <v>187.06235099601099</v>
      </c>
    </row>
    <row r="112" spans="1:2" x14ac:dyDescent="0.35">
      <c r="A112" s="15">
        <v>45747</v>
      </c>
      <c r="B112" s="4">
        <v>178.905957828878</v>
      </c>
    </row>
    <row r="113" spans="1:2" x14ac:dyDescent="0.35">
      <c r="A113" s="16">
        <v>45777</v>
      </c>
      <c r="B113" s="3">
        <v>176.48246479375899</v>
      </c>
    </row>
    <row r="114" spans="1:2" x14ac:dyDescent="0.35">
      <c r="A114" s="15">
        <v>45807</v>
      </c>
      <c r="B114" s="4">
        <v>183.397492041867</v>
      </c>
    </row>
    <row r="115" spans="1:2" x14ac:dyDescent="0.35">
      <c r="A115" s="16">
        <v>45838</v>
      </c>
      <c r="B115" s="3">
        <v>180.836518948303</v>
      </c>
    </row>
    <row r="116" spans="1:2" x14ac:dyDescent="0.35">
      <c r="A116" s="15">
        <v>45869</v>
      </c>
      <c r="B116" s="4">
        <v>182.039268511053</v>
      </c>
    </row>
    <row r="117" spans="1:2" x14ac:dyDescent="0.35">
      <c r="A117" s="16">
        <v>45898</v>
      </c>
      <c r="B117" s="3">
        <v>183.77860024695801</v>
      </c>
    </row>
    <row r="118" spans="1:2" x14ac:dyDescent="0.35">
      <c r="A118" s="15">
        <v>45930</v>
      </c>
      <c r="B118" s="4">
        <v>186.61111559016101</v>
      </c>
    </row>
    <row r="119" spans="1:2" x14ac:dyDescent="0.35">
      <c r="A119" s="16">
        <v>45961</v>
      </c>
      <c r="B119" s="3">
        <v>191.17936902723099</v>
      </c>
    </row>
    <row r="120" spans="1:2" x14ac:dyDescent="0.35">
      <c r="A120" s="15">
        <v>45989</v>
      </c>
      <c r="B120" s="4">
        <v>192.60676591530901</v>
      </c>
    </row>
    <row r="121" spans="1:2" x14ac:dyDescent="0.35">
      <c r="A121" s="16">
        <v>46022</v>
      </c>
      <c r="B121" s="3">
        <v>197.63761505766101</v>
      </c>
    </row>
    <row r="122" spans="1:2" x14ac:dyDescent="0.35">
      <c r="A122" s="15">
        <v>46052</v>
      </c>
      <c r="B122" s="4">
        <v>203.71413147571599</v>
      </c>
    </row>
    <row r="123" spans="1:2" x14ac:dyDescent="0.35">
      <c r="A123" s="15">
        <v>46080</v>
      </c>
      <c r="B123" s="3">
        <v>211.7</v>
      </c>
    </row>
  </sheetData>
  <sortState xmlns:xlrd2="http://schemas.microsoft.com/office/spreadsheetml/2017/richdata2" ref="A2:B122">
    <sortCondition ref="A1:A12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9D6FF-7D28-4571-A978-900B6D932167}">
  <dimension ref="A1:F1321"/>
  <sheetViews>
    <sheetView topLeftCell="A1312" zoomScaleNormal="100" workbookViewId="0">
      <selection activeCell="I1318" sqref="I1318"/>
    </sheetView>
  </sheetViews>
  <sheetFormatPr defaultRowHeight="14.5" x14ac:dyDescent="0.35"/>
  <cols>
    <col min="1" max="1" width="10.26953125" style="16" customWidth="1"/>
    <col min="4" max="4" width="11.54296875" customWidth="1"/>
  </cols>
  <sheetData>
    <row r="1" spans="1:6" x14ac:dyDescent="0.35">
      <c r="A1" s="17" t="s">
        <v>13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 x14ac:dyDescent="0.35">
      <c r="A2" s="15">
        <v>42766</v>
      </c>
      <c r="B2" t="s">
        <v>4</v>
      </c>
      <c r="C2" s="4">
        <v>12.951178000000001</v>
      </c>
      <c r="D2" s="8">
        <f>LOOKUP(EOMONTH(A2,0),Target_Prices!A$2:A$38,Target_Prices!B$2:B$38)</f>
        <v>14.828200000000001</v>
      </c>
      <c r="F2">
        <f>(D2-C2)/C2</f>
        <v>0.14493060013536993</v>
      </c>
    </row>
    <row r="3" spans="1:6" x14ac:dyDescent="0.35">
      <c r="A3" s="16">
        <v>42794</v>
      </c>
      <c r="B3" t="s">
        <v>4</v>
      </c>
      <c r="C3" s="3">
        <v>14.005326</v>
      </c>
      <c r="D3" s="8">
        <f>LOOKUP(EOMONTH(A3,0),Target_Prices!A$2:A$38,Target_Prices!B$2:B$38)</f>
        <v>14.828200000000001</v>
      </c>
      <c r="E3">
        <f>(C3/C2)-1</f>
        <v>8.1393985937032065E-2</v>
      </c>
      <c r="F3">
        <f t="shared" ref="F3:F66" si="0">(D3-C3)/C3</f>
        <v>5.8754362447543208E-2</v>
      </c>
    </row>
    <row r="4" spans="1:6" x14ac:dyDescent="0.35">
      <c r="A4" s="15">
        <v>42825</v>
      </c>
      <c r="B4" t="s">
        <v>4</v>
      </c>
      <c r="C4" s="4">
        <v>15.249492</v>
      </c>
      <c r="D4" s="8">
        <f>LOOKUP(EOMONTH(A4,0),Target_Prices!A$2:A$38,Target_Prices!B$2:B$38)</f>
        <v>16.123999999999999</v>
      </c>
      <c r="E4">
        <f t="shared" ref="E4:E67" si="1">(C4/C3)-1</f>
        <v>8.8835204550040459E-2</v>
      </c>
      <c r="F4">
        <f t="shared" si="0"/>
        <v>5.7346697188339041E-2</v>
      </c>
    </row>
    <row r="5" spans="1:6" x14ac:dyDescent="0.35">
      <c r="A5" s="16">
        <v>42853</v>
      </c>
      <c r="B5" t="s">
        <v>4</v>
      </c>
      <c r="C5" s="3">
        <v>15.812165999999999</v>
      </c>
      <c r="D5" s="8">
        <f>LOOKUP(EOMONTH(A5,0),Target_Prices!A$2:A$38,Target_Prices!B$2:B$38)</f>
        <v>16.123999999999999</v>
      </c>
      <c r="E5">
        <f t="shared" si="1"/>
        <v>3.6897884860689123E-2</v>
      </c>
      <c r="F5">
        <f t="shared" si="0"/>
        <v>1.9721143833172462E-2</v>
      </c>
    </row>
    <row r="6" spans="1:6" x14ac:dyDescent="0.35">
      <c r="A6" s="15">
        <v>42886</v>
      </c>
      <c r="B6" t="s">
        <v>4</v>
      </c>
      <c r="C6" s="4">
        <v>15.820786</v>
      </c>
      <c r="D6" s="8">
        <f>LOOKUP(EOMONTH(A6,0),Target_Prices!A$2:A$38,Target_Prices!B$2:B$38)</f>
        <v>16.123999999999999</v>
      </c>
      <c r="E6">
        <f t="shared" si="1"/>
        <v>5.4514985486497913E-4</v>
      </c>
      <c r="F6">
        <f t="shared" si="0"/>
        <v>1.9165545883750579E-2</v>
      </c>
    </row>
    <row r="7" spans="1:6" x14ac:dyDescent="0.35">
      <c r="A7" s="16">
        <v>42916</v>
      </c>
      <c r="B7" t="s">
        <v>4</v>
      </c>
      <c r="C7" s="3">
        <v>16.166741999999999</v>
      </c>
      <c r="D7" s="8">
        <f>LOOKUP(EOMONTH(A7,0),Target_Prices!A$2:A$38,Target_Prices!B$2:B$38)</f>
        <v>16.7821</v>
      </c>
      <c r="E7">
        <f t="shared" si="1"/>
        <v>2.1867181567337912E-2</v>
      </c>
      <c r="F7">
        <f t="shared" si="0"/>
        <v>3.8063204076616092E-2</v>
      </c>
    </row>
    <row r="8" spans="1:6" x14ac:dyDescent="0.35">
      <c r="A8" s="15">
        <v>42947</v>
      </c>
      <c r="B8" t="s">
        <v>4</v>
      </c>
      <c r="C8" s="4">
        <v>16.51266</v>
      </c>
      <c r="D8" s="8">
        <f>LOOKUP(EOMONTH(A8,0),Target_Prices!A$2:A$38,Target_Prices!B$2:B$38)</f>
        <v>16.7821</v>
      </c>
      <c r="E8">
        <f t="shared" si="1"/>
        <v>2.1396889985626055E-2</v>
      </c>
      <c r="F8">
        <f t="shared" si="0"/>
        <v>1.631717724461107E-2</v>
      </c>
    </row>
    <row r="9" spans="1:6" x14ac:dyDescent="0.35">
      <c r="A9" s="16">
        <v>42978</v>
      </c>
      <c r="B9" t="s">
        <v>4</v>
      </c>
      <c r="C9" s="3">
        <v>15.300431</v>
      </c>
      <c r="D9" s="8">
        <f>LOOKUP(EOMONTH(A9,0),Target_Prices!A$2:A$38,Target_Prices!B$2:B$38)</f>
        <v>16.7821</v>
      </c>
      <c r="E9">
        <f t="shared" si="1"/>
        <v>-7.3412097142435018E-2</v>
      </c>
      <c r="F9">
        <f t="shared" si="0"/>
        <v>9.6838383180186241E-2</v>
      </c>
    </row>
    <row r="10" spans="1:6" x14ac:dyDescent="0.35">
      <c r="A10" s="15">
        <v>43007</v>
      </c>
      <c r="B10" t="s">
        <v>4</v>
      </c>
      <c r="C10" s="4">
        <v>15.184677000000001</v>
      </c>
      <c r="D10" s="8">
        <f>LOOKUP(EOMONTH(A10,0),Target_Prices!A$2:A$38,Target_Prices!B$2:B$38)</f>
        <v>17.249300000000002</v>
      </c>
      <c r="E10">
        <f t="shared" si="1"/>
        <v>-7.5654077979894208E-3</v>
      </c>
      <c r="F10">
        <f t="shared" si="0"/>
        <v>0.13596752831818557</v>
      </c>
    </row>
    <row r="11" spans="1:6" x14ac:dyDescent="0.35">
      <c r="A11" s="16">
        <v>43039</v>
      </c>
      <c r="B11" t="s">
        <v>4</v>
      </c>
      <c r="C11" s="3">
        <v>15.145337</v>
      </c>
      <c r="D11" s="8">
        <f>LOOKUP(EOMONTH(A11,0),Target_Prices!A$2:A$38,Target_Prices!B$2:B$38)</f>
        <v>17.249300000000002</v>
      </c>
      <c r="E11">
        <f t="shared" si="1"/>
        <v>-2.5907696291466165E-3</v>
      </c>
      <c r="F11">
        <f t="shared" si="0"/>
        <v>0.13891820300862254</v>
      </c>
    </row>
    <row r="12" spans="1:6" x14ac:dyDescent="0.35">
      <c r="A12" s="15">
        <v>43069</v>
      </c>
      <c r="B12" t="s">
        <v>4</v>
      </c>
      <c r="C12" s="4">
        <v>10.754752999999999</v>
      </c>
      <c r="D12" s="8">
        <f>LOOKUP(EOMONTH(A12,0),Target_Prices!A$2:A$38,Target_Prices!B$2:B$38)</f>
        <v>17.249300000000002</v>
      </c>
      <c r="E12">
        <f t="shared" si="1"/>
        <v>-0.28989675171968776</v>
      </c>
      <c r="F12">
        <f t="shared" si="0"/>
        <v>0.60387690912101866</v>
      </c>
    </row>
    <row r="13" spans="1:6" x14ac:dyDescent="0.35">
      <c r="A13" s="16">
        <v>43098</v>
      </c>
      <c r="B13" t="s">
        <v>4</v>
      </c>
      <c r="C13" s="3">
        <v>11.518459</v>
      </c>
      <c r="D13" s="8">
        <f>LOOKUP(EOMONTH(A13,0),Target_Prices!A$2:A$38,Target_Prices!B$2:B$38)</f>
        <v>13.4604</v>
      </c>
      <c r="E13">
        <f t="shared" si="1"/>
        <v>7.101102182449015E-2</v>
      </c>
      <c r="F13">
        <f t="shared" si="0"/>
        <v>0.16859381971147355</v>
      </c>
    </row>
    <row r="14" spans="1:6" x14ac:dyDescent="0.35">
      <c r="A14" s="15">
        <v>43131</v>
      </c>
      <c r="B14" t="s">
        <v>4</v>
      </c>
      <c r="C14" s="4">
        <v>10.991137999999999</v>
      </c>
      <c r="D14" s="8">
        <f>LOOKUP(EOMONTH(A14,0),Target_Prices!A$2:A$38,Target_Prices!B$2:B$38)</f>
        <v>13.4604</v>
      </c>
      <c r="E14">
        <f t="shared" si="1"/>
        <v>-4.5780516299966934E-2</v>
      </c>
      <c r="F14">
        <f t="shared" si="0"/>
        <v>0.2246593573841035</v>
      </c>
    </row>
    <row r="15" spans="1:6" x14ac:dyDescent="0.35">
      <c r="A15" s="16">
        <v>43159</v>
      </c>
      <c r="B15" t="s">
        <v>4</v>
      </c>
      <c r="C15" s="3">
        <v>11.915571</v>
      </c>
      <c r="D15" s="8">
        <f>LOOKUP(EOMONTH(A15,0),Target_Prices!A$2:A$38,Target_Prices!B$2:B$38)</f>
        <v>13.4604</v>
      </c>
      <c r="E15">
        <f t="shared" si="1"/>
        <v>8.410712339341031E-2</v>
      </c>
      <c r="F15">
        <f t="shared" si="0"/>
        <v>0.12964792035564221</v>
      </c>
    </row>
    <row r="16" spans="1:6" x14ac:dyDescent="0.35">
      <c r="A16" s="15">
        <v>43189</v>
      </c>
      <c r="B16" t="s">
        <v>4</v>
      </c>
      <c r="C16" s="4">
        <v>11.539021</v>
      </c>
      <c r="D16" s="8">
        <f>LOOKUP(EOMONTH(A16,0),Target_Prices!A$2:A$38,Target_Prices!B$2:B$38)</f>
        <v>13.6235</v>
      </c>
      <c r="E16">
        <f t="shared" si="1"/>
        <v>-3.1601506969326065E-2</v>
      </c>
      <c r="F16">
        <f t="shared" si="0"/>
        <v>0.18064608774002577</v>
      </c>
    </row>
    <row r="17" spans="1:6" x14ac:dyDescent="0.35">
      <c r="A17" s="16">
        <v>43220</v>
      </c>
      <c r="B17" t="s">
        <v>4</v>
      </c>
      <c r="C17" s="3">
        <v>10.742837</v>
      </c>
      <c r="D17" s="8">
        <f>LOOKUP(EOMONTH(A17,0),Target_Prices!A$2:A$38,Target_Prices!B$2:B$38)</f>
        <v>13.6235</v>
      </c>
      <c r="E17">
        <f t="shared" si="1"/>
        <v>-6.8999267788835805E-2</v>
      </c>
      <c r="F17">
        <f t="shared" si="0"/>
        <v>0.26814732458474427</v>
      </c>
    </row>
    <row r="18" spans="1:6" x14ac:dyDescent="0.35">
      <c r="A18" s="15">
        <v>43251</v>
      </c>
      <c r="B18" t="s">
        <v>4</v>
      </c>
      <c r="C18" s="4">
        <v>11.218071999999999</v>
      </c>
      <c r="D18" s="8">
        <f>LOOKUP(EOMONTH(A18,0),Target_Prices!A$2:A$38,Target_Prices!B$2:B$38)</f>
        <v>13.6235</v>
      </c>
      <c r="E18">
        <f t="shared" si="1"/>
        <v>4.4237383477008896E-2</v>
      </c>
      <c r="F18">
        <f t="shared" si="0"/>
        <v>0.21442436810888721</v>
      </c>
    </row>
    <row r="19" spans="1:6" x14ac:dyDescent="0.35">
      <c r="A19" s="16">
        <v>43280</v>
      </c>
      <c r="B19" t="s">
        <v>4</v>
      </c>
      <c r="C19" s="3">
        <v>10.603002999999999</v>
      </c>
      <c r="D19" s="8">
        <f>LOOKUP(EOMONTH(A19,0),Target_Prices!A$2:A$38,Target_Prices!B$2:B$38)</f>
        <v>13.537100000000001</v>
      </c>
      <c r="E19">
        <f t="shared" si="1"/>
        <v>-5.482840545148937E-2</v>
      </c>
      <c r="F19">
        <f t="shared" si="0"/>
        <v>0.27672320756676211</v>
      </c>
    </row>
    <row r="20" spans="1:6" x14ac:dyDescent="0.35">
      <c r="A20" s="15">
        <v>43312</v>
      </c>
      <c r="B20" t="s">
        <v>4</v>
      </c>
      <c r="C20" s="4">
        <v>11.036241</v>
      </c>
      <c r="D20" s="8">
        <f>LOOKUP(EOMONTH(A20,0),Target_Prices!A$2:A$38,Target_Prices!B$2:B$38)</f>
        <v>13.537100000000001</v>
      </c>
      <c r="E20">
        <f t="shared" si="1"/>
        <v>4.0859933737640297E-2</v>
      </c>
      <c r="F20">
        <f t="shared" si="0"/>
        <v>0.22660423961383228</v>
      </c>
    </row>
    <row r="21" spans="1:6" x14ac:dyDescent="0.35">
      <c r="A21" s="16">
        <v>43343</v>
      </c>
      <c r="B21" t="s">
        <v>4</v>
      </c>
      <c r="C21" s="3">
        <v>12.004975</v>
      </c>
      <c r="D21" s="8">
        <f>LOOKUP(EOMONTH(A21,0),Target_Prices!A$2:A$38,Target_Prices!B$2:B$38)</f>
        <v>13.537100000000001</v>
      </c>
      <c r="E21">
        <f t="shared" si="1"/>
        <v>8.7777532223154653E-2</v>
      </c>
      <c r="F21">
        <f t="shared" si="0"/>
        <v>0.12762417247849334</v>
      </c>
    </row>
    <row r="22" spans="1:6" x14ac:dyDescent="0.35">
      <c r="A22" s="15">
        <v>43371</v>
      </c>
      <c r="B22" t="s">
        <v>4</v>
      </c>
      <c r="C22" s="4">
        <v>11.650428</v>
      </c>
      <c r="D22" s="8">
        <f>LOOKUP(EOMONTH(A22,0),Target_Prices!A$2:A$38,Target_Prices!B$2:B$38)</f>
        <v>13.0754</v>
      </c>
      <c r="E22">
        <f t="shared" si="1"/>
        <v>-2.9533339303080663E-2</v>
      </c>
      <c r="F22">
        <f t="shared" si="0"/>
        <v>0.12231069965841601</v>
      </c>
    </row>
    <row r="23" spans="1:6" x14ac:dyDescent="0.35">
      <c r="A23" s="16">
        <v>43404</v>
      </c>
      <c r="B23" t="s">
        <v>4</v>
      </c>
      <c r="C23" s="3">
        <v>11.073888999999999</v>
      </c>
      <c r="D23" s="8">
        <f>LOOKUP(EOMONTH(A23,0),Target_Prices!A$2:A$38,Target_Prices!B$2:B$38)</f>
        <v>13.0754</v>
      </c>
      <c r="E23">
        <f t="shared" si="1"/>
        <v>-4.9486508135151763E-2</v>
      </c>
      <c r="F23">
        <f t="shared" si="0"/>
        <v>0.18074147212420141</v>
      </c>
    </row>
    <row r="24" spans="1:6" x14ac:dyDescent="0.35">
      <c r="A24" s="15">
        <v>43434</v>
      </c>
      <c r="B24" t="s">
        <v>4</v>
      </c>
      <c r="C24" s="4">
        <v>13.184847</v>
      </c>
      <c r="D24" s="8">
        <f>LOOKUP(EOMONTH(A24,0),Target_Prices!A$2:A$38,Target_Prices!B$2:B$38)</f>
        <v>13.0754</v>
      </c>
      <c r="E24">
        <f t="shared" si="1"/>
        <v>0.19062481121130981</v>
      </c>
      <c r="F24">
        <f t="shared" si="0"/>
        <v>-8.3009685284933087E-3</v>
      </c>
    </row>
    <row r="25" spans="1:6" x14ac:dyDescent="0.35">
      <c r="A25" s="16">
        <v>43465</v>
      </c>
      <c r="B25" t="s">
        <v>4</v>
      </c>
      <c r="C25" s="3">
        <v>13.179931</v>
      </c>
      <c r="D25" s="8">
        <f>LOOKUP(EOMONTH(A25,0),Target_Prices!A$2:A$38,Target_Prices!B$2:B$38)</f>
        <v>13.464</v>
      </c>
      <c r="E25">
        <f t="shared" si="1"/>
        <v>-3.7285225987071513E-4</v>
      </c>
      <c r="F25">
        <f t="shared" si="0"/>
        <v>2.1553147736509438E-2</v>
      </c>
    </row>
    <row r="26" spans="1:6" x14ac:dyDescent="0.35">
      <c r="A26" s="15">
        <v>43496</v>
      </c>
      <c r="B26" t="s">
        <v>4</v>
      </c>
      <c r="C26" s="4">
        <v>14.411341</v>
      </c>
      <c r="D26" s="8">
        <f>LOOKUP(EOMONTH(A26,0),Target_Prices!A$2:A$38,Target_Prices!B$2:B$38)</f>
        <v>13.464</v>
      </c>
      <c r="E26">
        <f t="shared" si="1"/>
        <v>9.3430686397371954E-2</v>
      </c>
      <c r="F26">
        <f t="shared" si="0"/>
        <v>-6.5735797938581822E-2</v>
      </c>
    </row>
    <row r="27" spans="1:6" x14ac:dyDescent="0.35">
      <c r="A27" s="16">
        <v>43524</v>
      </c>
      <c r="B27" t="s">
        <v>4</v>
      </c>
      <c r="C27" s="3">
        <v>14.635904</v>
      </c>
      <c r="D27" s="8">
        <f>LOOKUP(EOMONTH(A27,0),Target_Prices!A$2:A$38,Target_Prices!B$2:B$38)</f>
        <v>13.464</v>
      </c>
      <c r="E27">
        <f t="shared" si="1"/>
        <v>1.5582380570968279E-2</v>
      </c>
      <c r="F27">
        <f t="shared" si="0"/>
        <v>-8.0070489667054365E-2</v>
      </c>
    </row>
    <row r="28" spans="1:6" x14ac:dyDescent="0.35">
      <c r="A28" s="15">
        <v>43553</v>
      </c>
      <c r="B28" t="s">
        <v>4</v>
      </c>
      <c r="C28" s="4">
        <v>15.002471</v>
      </c>
      <c r="D28" s="8">
        <f>LOOKUP(EOMONTH(A28,0),Target_Prices!A$2:A$38,Target_Prices!B$2:B$38)</f>
        <v>14.934900000000001</v>
      </c>
      <c r="E28">
        <f t="shared" si="1"/>
        <v>2.5045736840033861E-2</v>
      </c>
      <c r="F28">
        <f t="shared" si="0"/>
        <v>-4.5039913758206339E-3</v>
      </c>
    </row>
    <row r="29" spans="1:6" x14ac:dyDescent="0.35">
      <c r="A29" s="16">
        <v>43585</v>
      </c>
      <c r="B29" t="s">
        <v>4</v>
      </c>
      <c r="C29" s="3">
        <v>16.127064000000001</v>
      </c>
      <c r="D29" s="8">
        <f>LOOKUP(EOMONTH(A29,0),Target_Prices!A$2:A$38,Target_Prices!B$2:B$38)</f>
        <v>14.934900000000001</v>
      </c>
      <c r="E29">
        <f t="shared" si="1"/>
        <v>7.4960518170640089E-2</v>
      </c>
      <c r="F29">
        <f t="shared" si="0"/>
        <v>-7.392318899459939E-2</v>
      </c>
    </row>
    <row r="30" spans="1:6" x14ac:dyDescent="0.35">
      <c r="A30" s="15">
        <v>43616</v>
      </c>
      <c r="B30" t="s">
        <v>4</v>
      </c>
      <c r="C30" s="4">
        <v>14.673467</v>
      </c>
      <c r="D30" s="8">
        <f>LOOKUP(EOMONTH(A30,0),Target_Prices!A$2:A$38,Target_Prices!B$2:B$38)</f>
        <v>14.934900000000001</v>
      </c>
      <c r="E30">
        <f t="shared" si="1"/>
        <v>-9.0134013233903021E-2</v>
      </c>
      <c r="F30">
        <f t="shared" si="0"/>
        <v>1.7816716390202821E-2</v>
      </c>
    </row>
    <row r="31" spans="1:6" x14ac:dyDescent="0.35">
      <c r="A31" s="16">
        <v>43644</v>
      </c>
      <c r="B31" t="s">
        <v>4</v>
      </c>
      <c r="C31" s="3">
        <v>15.193547000000001</v>
      </c>
      <c r="D31" s="8">
        <f>LOOKUP(EOMONTH(A31,0),Target_Prices!A$2:A$38,Target_Prices!B$2:B$38)</f>
        <v>16.316600000000001</v>
      </c>
      <c r="E31">
        <f t="shared" si="1"/>
        <v>3.5443566268285487E-2</v>
      </c>
      <c r="F31">
        <f t="shared" si="0"/>
        <v>7.391644623865648E-2</v>
      </c>
    </row>
    <row r="32" spans="1:6" x14ac:dyDescent="0.35">
      <c r="A32" s="15">
        <v>43677</v>
      </c>
      <c r="B32" t="s">
        <v>4</v>
      </c>
      <c r="C32" s="4">
        <v>14.859685000000001</v>
      </c>
      <c r="D32" s="8">
        <f>LOOKUP(EOMONTH(A32,0),Target_Prices!A$2:A$38,Target_Prices!B$2:B$38)</f>
        <v>16.316600000000001</v>
      </c>
      <c r="E32">
        <f t="shared" si="1"/>
        <v>-2.1973934065560807E-2</v>
      </c>
      <c r="F32">
        <f t="shared" si="0"/>
        <v>9.804481050574089E-2</v>
      </c>
    </row>
    <row r="33" spans="1:6" x14ac:dyDescent="0.35">
      <c r="A33" s="16">
        <v>43707</v>
      </c>
      <c r="B33" t="s">
        <v>4</v>
      </c>
      <c r="C33" s="3">
        <v>13.371561</v>
      </c>
      <c r="D33" s="8">
        <f>LOOKUP(EOMONTH(A33,0),Target_Prices!A$2:A$38,Target_Prices!B$2:B$38)</f>
        <v>16.316600000000001</v>
      </c>
      <c r="E33">
        <f t="shared" si="1"/>
        <v>-0.10014505691069497</v>
      </c>
      <c r="F33">
        <f t="shared" si="0"/>
        <v>0.22024646187531893</v>
      </c>
    </row>
    <row r="34" spans="1:6" x14ac:dyDescent="0.35">
      <c r="A34" s="15">
        <v>43738</v>
      </c>
      <c r="B34" t="s">
        <v>4</v>
      </c>
      <c r="C34" s="4">
        <v>14.245362999999999</v>
      </c>
      <c r="D34" s="8">
        <f>LOOKUP(EOMONTH(A34,0),Target_Prices!A$2:A$38,Target_Prices!B$2:B$38)</f>
        <v>16.3752</v>
      </c>
      <c r="E34">
        <f t="shared" si="1"/>
        <v>6.5347792976452101E-2</v>
      </c>
      <c r="F34">
        <f t="shared" si="0"/>
        <v>0.1495108969845135</v>
      </c>
    </row>
    <row r="35" spans="1:6" x14ac:dyDescent="0.35">
      <c r="A35" s="16">
        <v>43769</v>
      </c>
      <c r="B35" t="s">
        <v>4</v>
      </c>
      <c r="C35" s="3">
        <v>14.6399975</v>
      </c>
      <c r="D35" s="8">
        <f>LOOKUP(EOMONTH(A35,0),Target_Prices!A$2:A$38,Target_Prices!B$2:B$38)</f>
        <v>16.3752</v>
      </c>
      <c r="E35">
        <f t="shared" si="1"/>
        <v>2.7702663666766547E-2</v>
      </c>
      <c r="F35">
        <f t="shared" si="0"/>
        <v>0.11852478116884922</v>
      </c>
    </row>
    <row r="36" spans="1:6" x14ac:dyDescent="0.35">
      <c r="A36" s="15">
        <v>43798</v>
      </c>
      <c r="B36" t="s">
        <v>4</v>
      </c>
      <c r="C36" s="4">
        <v>17.275950000000002</v>
      </c>
      <c r="D36" s="8">
        <f>LOOKUP(EOMONTH(A36,0),Target_Prices!A$2:A$38,Target_Prices!B$2:B$38)</f>
        <v>16.3752</v>
      </c>
      <c r="E36">
        <f t="shared" si="1"/>
        <v>0.18005143101971166</v>
      </c>
      <c r="F36">
        <f t="shared" si="0"/>
        <v>-5.2138956178965676E-2</v>
      </c>
    </row>
    <row r="37" spans="1:6" x14ac:dyDescent="0.35">
      <c r="A37" s="16">
        <v>43830</v>
      </c>
      <c r="B37" t="s">
        <v>4</v>
      </c>
      <c r="C37" s="3">
        <v>18.022635000000001</v>
      </c>
      <c r="D37" s="8">
        <f>LOOKUP(EOMONTH(A37,0),Target_Prices!A$2:A$38,Target_Prices!B$2:B$38)</f>
        <v>17.8553</v>
      </c>
      <c r="E37">
        <f t="shared" si="1"/>
        <v>4.3221067437680727E-2</v>
      </c>
      <c r="F37">
        <f t="shared" si="0"/>
        <v>-9.2847133618364532E-3</v>
      </c>
    </row>
    <row r="38" spans="1:6" x14ac:dyDescent="0.35">
      <c r="A38" s="15">
        <v>43861</v>
      </c>
      <c r="B38" t="s">
        <v>4</v>
      </c>
      <c r="C38" s="4">
        <v>18.006202999999999</v>
      </c>
      <c r="D38" s="8">
        <f>LOOKUP(EOMONTH(A38,0),Target_Prices!A$2:A$38,Target_Prices!B$2:B$38)</f>
        <v>17.8553</v>
      </c>
      <c r="E38">
        <f t="shared" si="1"/>
        <v>-9.1174237285507331E-4</v>
      </c>
      <c r="F38">
        <f t="shared" si="0"/>
        <v>-8.3806119480047837E-3</v>
      </c>
    </row>
    <row r="39" spans="1:6" x14ac:dyDescent="0.35">
      <c r="A39" s="16">
        <v>43889</v>
      </c>
      <c r="B39" t="s">
        <v>4</v>
      </c>
      <c r="C39" s="3">
        <v>17.380087</v>
      </c>
      <c r="D39" s="8">
        <f>LOOKUP(EOMONTH(A39,0),Target_Prices!A$2:A$38,Target_Prices!B$2:B$38)</f>
        <v>17.8553</v>
      </c>
      <c r="E39">
        <f t="shared" si="1"/>
        <v>-3.4772239322193532E-2</v>
      </c>
      <c r="F39">
        <f t="shared" si="0"/>
        <v>2.7342383268852459E-2</v>
      </c>
    </row>
    <row r="40" spans="1:6" x14ac:dyDescent="0.35">
      <c r="A40" s="15">
        <v>43921</v>
      </c>
      <c r="B40" t="s">
        <v>4</v>
      </c>
      <c r="C40" s="4">
        <v>14.810689999999999</v>
      </c>
      <c r="D40" s="8">
        <f>LOOKUP(EOMONTH(A40,0),Target_Prices!A$2:A$38,Target_Prices!B$2:B$38)</f>
        <v>18.220800000000001</v>
      </c>
      <c r="E40">
        <f t="shared" si="1"/>
        <v>-0.14783568114474921</v>
      </c>
      <c r="F40">
        <f t="shared" si="0"/>
        <v>0.2302465313905025</v>
      </c>
    </row>
    <row r="41" spans="1:6" x14ac:dyDescent="0.35">
      <c r="A41" s="16">
        <v>43951</v>
      </c>
      <c r="B41" t="s">
        <v>4</v>
      </c>
      <c r="C41" s="3">
        <v>15.71644</v>
      </c>
      <c r="D41" s="8">
        <f>LOOKUP(EOMONTH(A41,0),Target_Prices!A$2:A$38,Target_Prices!B$2:B$38)</f>
        <v>18.220800000000001</v>
      </c>
      <c r="E41">
        <f t="shared" si="1"/>
        <v>6.1155152123230083E-2</v>
      </c>
      <c r="F41">
        <f t="shared" si="0"/>
        <v>0.15934651867725771</v>
      </c>
    </row>
    <row r="42" spans="1:6" x14ac:dyDescent="0.35">
      <c r="A42" s="15">
        <v>43980</v>
      </c>
      <c r="B42" t="s">
        <v>4</v>
      </c>
      <c r="C42" s="4">
        <v>18.348368000000001</v>
      </c>
      <c r="D42" s="8">
        <f>LOOKUP(EOMONTH(A42,0),Target_Prices!A$2:A$38,Target_Prices!B$2:B$38)</f>
        <v>18.220800000000001</v>
      </c>
      <c r="E42">
        <f t="shared" si="1"/>
        <v>0.16746336956715391</v>
      </c>
      <c r="F42">
        <f t="shared" si="0"/>
        <v>-6.9525529463982912E-3</v>
      </c>
    </row>
    <row r="43" spans="1:6" x14ac:dyDescent="0.35">
      <c r="A43" s="16">
        <v>44012</v>
      </c>
      <c r="B43" t="s">
        <v>4</v>
      </c>
      <c r="C43" s="3">
        <v>18.123837999999999</v>
      </c>
      <c r="D43" s="8">
        <f>LOOKUP(EOMONTH(A43,0),Target_Prices!A$2:A$38,Target_Prices!B$2:B$38)</f>
        <v>18.4557</v>
      </c>
      <c r="E43">
        <f t="shared" si="1"/>
        <v>-1.2237055633503857E-2</v>
      </c>
      <c r="F43">
        <f t="shared" si="0"/>
        <v>1.8310801498005059E-2</v>
      </c>
    </row>
    <row r="44" spans="1:6" x14ac:dyDescent="0.35">
      <c r="A44" s="15">
        <v>44043</v>
      </c>
      <c r="B44" t="s">
        <v>4</v>
      </c>
      <c r="C44" s="4">
        <v>21.798693</v>
      </c>
      <c r="D44" s="8">
        <f>LOOKUP(EOMONTH(A44,0),Target_Prices!A$2:A$38,Target_Prices!B$2:B$38)</f>
        <v>18.4557</v>
      </c>
      <c r="E44">
        <f t="shared" si="1"/>
        <v>0.20276361993524783</v>
      </c>
      <c r="F44">
        <f t="shared" si="0"/>
        <v>-0.15335749716737604</v>
      </c>
    </row>
    <row r="45" spans="1:6" x14ac:dyDescent="0.35">
      <c r="A45" s="16">
        <v>44074</v>
      </c>
      <c r="B45" t="s">
        <v>4</v>
      </c>
      <c r="C45" s="3">
        <v>25.479659999999999</v>
      </c>
      <c r="D45" s="8">
        <f>LOOKUP(EOMONTH(A45,0),Target_Prices!A$2:A$38,Target_Prices!B$2:B$38)</f>
        <v>18.4557</v>
      </c>
      <c r="E45">
        <f t="shared" si="1"/>
        <v>0.168861821211024</v>
      </c>
      <c r="F45">
        <f t="shared" si="0"/>
        <v>-0.27566929856991806</v>
      </c>
    </row>
    <row r="46" spans="1:6" x14ac:dyDescent="0.35">
      <c r="A46" s="15">
        <v>44104</v>
      </c>
      <c r="B46" t="s">
        <v>4</v>
      </c>
      <c r="C46" s="4">
        <v>27.674448000000002</v>
      </c>
      <c r="D46" s="8">
        <f>LOOKUP(EOMONTH(A46,0),Target_Prices!A$2:A$38,Target_Prices!B$2:B$38)</f>
        <v>23.7514</v>
      </c>
      <c r="E46">
        <f t="shared" si="1"/>
        <v>8.6138826028290927E-2</v>
      </c>
      <c r="F46">
        <f t="shared" si="0"/>
        <v>-0.14175704606646539</v>
      </c>
    </row>
    <row r="47" spans="1:6" x14ac:dyDescent="0.35">
      <c r="A47" s="16">
        <v>44134</v>
      </c>
      <c r="B47" t="s">
        <v>4</v>
      </c>
      <c r="C47" s="3">
        <v>29.307941</v>
      </c>
      <c r="D47" s="8">
        <f>LOOKUP(EOMONTH(A47,0),Target_Prices!A$2:A$38,Target_Prices!B$2:B$38)</f>
        <v>23.7514</v>
      </c>
      <c r="E47">
        <f t="shared" si="1"/>
        <v>5.9025314615127833E-2</v>
      </c>
      <c r="F47">
        <f t="shared" si="0"/>
        <v>-0.18959165367502273</v>
      </c>
    </row>
    <row r="48" spans="1:6" x14ac:dyDescent="0.35">
      <c r="A48" s="15">
        <v>44165</v>
      </c>
      <c r="B48" t="s">
        <v>4</v>
      </c>
      <c r="C48" s="4">
        <v>34.272185999999998</v>
      </c>
      <c r="D48" s="8">
        <f>LOOKUP(EOMONTH(A48,0),Target_Prices!A$2:A$38,Target_Prices!B$2:B$38)</f>
        <v>23.7514</v>
      </c>
      <c r="E48">
        <f t="shared" si="1"/>
        <v>0.16938225036006438</v>
      </c>
      <c r="F48">
        <f t="shared" si="0"/>
        <v>-0.30697738393459928</v>
      </c>
    </row>
    <row r="49" spans="1:6" x14ac:dyDescent="0.35">
      <c r="A49" s="16">
        <v>44196</v>
      </c>
      <c r="B49" t="s">
        <v>4</v>
      </c>
      <c r="C49" s="3">
        <v>38.701897000000002</v>
      </c>
      <c r="D49" s="8">
        <f>LOOKUP(EOMONTH(A49,0),Target_Prices!A$2:A$38,Target_Prices!B$2:B$38)</f>
        <v>29.576599999999999</v>
      </c>
      <c r="E49">
        <f t="shared" si="1"/>
        <v>0.12925090334185296</v>
      </c>
      <c r="F49">
        <f t="shared" si="0"/>
        <v>-0.23578423042157345</v>
      </c>
    </row>
    <row r="50" spans="1:6" x14ac:dyDescent="0.35">
      <c r="A50" s="15">
        <v>44225</v>
      </c>
      <c r="B50" t="s">
        <v>4</v>
      </c>
      <c r="C50" s="4">
        <v>35.871699999999997</v>
      </c>
      <c r="D50" s="8">
        <f>LOOKUP(EOMONTH(A50,0),Target_Prices!A$2:A$38,Target_Prices!B$2:B$38)</f>
        <v>29.576599999999999</v>
      </c>
      <c r="E50">
        <f t="shared" si="1"/>
        <v>-7.3128120825705412E-2</v>
      </c>
      <c r="F50">
        <f t="shared" si="0"/>
        <v>-0.17548931330268702</v>
      </c>
    </row>
    <row r="51" spans="1:6" x14ac:dyDescent="0.35">
      <c r="A51" s="16">
        <v>44253</v>
      </c>
      <c r="B51" t="s">
        <v>4</v>
      </c>
      <c r="C51" s="3">
        <v>31.051468</v>
      </c>
      <c r="D51" s="8">
        <f>LOOKUP(EOMONTH(A51,0),Target_Prices!A$2:A$38,Target_Prices!B$2:B$38)</f>
        <v>29.576599999999999</v>
      </c>
      <c r="E51">
        <f t="shared" si="1"/>
        <v>-0.13437422815199718</v>
      </c>
      <c r="F51">
        <f t="shared" si="0"/>
        <v>-4.749752894130483E-2</v>
      </c>
    </row>
    <row r="52" spans="1:6" x14ac:dyDescent="0.35">
      <c r="A52" s="15">
        <v>44286</v>
      </c>
      <c r="B52" t="s">
        <v>4</v>
      </c>
      <c r="C52" s="4">
        <v>35.012990000000002</v>
      </c>
      <c r="D52" s="8">
        <f>LOOKUP(EOMONTH(A52,0),Target_Prices!A$2:A$38,Target_Prices!B$2:B$38)</f>
        <v>33.721800000000002</v>
      </c>
      <c r="E52">
        <f t="shared" si="1"/>
        <v>0.12757921783279302</v>
      </c>
      <c r="F52">
        <f t="shared" si="0"/>
        <v>-3.6877456052739288E-2</v>
      </c>
    </row>
    <row r="53" spans="1:6" x14ac:dyDescent="0.35">
      <c r="A53" s="16">
        <v>44316</v>
      </c>
      <c r="B53" t="s">
        <v>4</v>
      </c>
      <c r="C53" s="3">
        <v>34.723059999999997</v>
      </c>
      <c r="D53" s="8">
        <f>LOOKUP(EOMONTH(A53,0),Target_Prices!A$2:A$38,Target_Prices!B$2:B$38)</f>
        <v>33.721800000000002</v>
      </c>
      <c r="E53">
        <f t="shared" si="1"/>
        <v>-8.2806409849602858E-3</v>
      </c>
      <c r="F53">
        <f t="shared" si="0"/>
        <v>-2.8835592254829932E-2</v>
      </c>
    </row>
    <row r="54" spans="1:6" x14ac:dyDescent="0.35">
      <c r="A54" s="15">
        <v>44347</v>
      </c>
      <c r="B54" t="s">
        <v>4</v>
      </c>
      <c r="C54" s="4">
        <v>31.83943</v>
      </c>
      <c r="D54" s="8">
        <f>LOOKUP(EOMONTH(A54,0),Target_Prices!A$2:A$38,Target_Prices!B$2:B$38)</f>
        <v>33.721800000000002</v>
      </c>
      <c r="E54">
        <f t="shared" si="1"/>
        <v>-8.3046540253076673E-2</v>
      </c>
      <c r="F54">
        <f t="shared" si="0"/>
        <v>5.9120719183729159E-2</v>
      </c>
    </row>
    <row r="55" spans="1:6" x14ac:dyDescent="0.35">
      <c r="A55" s="16">
        <v>44377</v>
      </c>
      <c r="B55" t="s">
        <v>4</v>
      </c>
      <c r="C55" s="3">
        <v>32.919837999999999</v>
      </c>
      <c r="D55" s="8">
        <f>LOOKUP(EOMONTH(A55,0),Target_Prices!A$2:A$38,Target_Prices!B$2:B$38)</f>
        <v>33.607599999999998</v>
      </c>
      <c r="E55">
        <f t="shared" si="1"/>
        <v>3.3933019529558184E-2</v>
      </c>
      <c r="F55">
        <f t="shared" si="0"/>
        <v>2.0892022615664127E-2</v>
      </c>
    </row>
    <row r="56" spans="1:6" x14ac:dyDescent="0.35">
      <c r="A56" s="15">
        <v>44407</v>
      </c>
      <c r="B56" t="s">
        <v>4</v>
      </c>
      <c r="C56" s="4">
        <v>31.08193</v>
      </c>
      <c r="D56" s="8">
        <f>LOOKUP(EOMONTH(A56,0),Target_Prices!A$2:A$38,Target_Prices!B$2:B$38)</f>
        <v>33.607599999999998</v>
      </c>
      <c r="E56">
        <f t="shared" si="1"/>
        <v>-5.5829800863540058E-2</v>
      </c>
      <c r="F56">
        <f t="shared" si="0"/>
        <v>8.1258467540464771E-2</v>
      </c>
    </row>
    <row r="57" spans="1:6" x14ac:dyDescent="0.35">
      <c r="A57" s="16">
        <v>44439</v>
      </c>
      <c r="B57" t="s">
        <v>4</v>
      </c>
      <c r="C57" s="3">
        <v>34.19547</v>
      </c>
      <c r="D57" s="8">
        <f>LOOKUP(EOMONTH(A57,0),Target_Prices!A$2:A$38,Target_Prices!B$2:B$38)</f>
        <v>33.607599999999998</v>
      </c>
      <c r="E57">
        <f t="shared" si="1"/>
        <v>0.10017202921440216</v>
      </c>
      <c r="F57">
        <f t="shared" si="0"/>
        <v>-1.7191458400776544E-2</v>
      </c>
    </row>
    <row r="58" spans="1:6" x14ac:dyDescent="0.35">
      <c r="A58" s="15">
        <v>44469</v>
      </c>
      <c r="B58" t="s">
        <v>4</v>
      </c>
      <c r="C58" s="4">
        <v>34.629116000000003</v>
      </c>
      <c r="D58" s="8">
        <f>LOOKUP(EOMONTH(A58,0),Target_Prices!A$2:A$38,Target_Prices!B$2:B$38)</f>
        <v>33.438499999999998</v>
      </c>
      <c r="E58">
        <f t="shared" si="1"/>
        <v>1.2681387329959382E-2</v>
      </c>
      <c r="F58">
        <f t="shared" si="0"/>
        <v>-3.4381934554725727E-2</v>
      </c>
    </row>
    <row r="59" spans="1:6" x14ac:dyDescent="0.35">
      <c r="A59" s="16">
        <v>44498</v>
      </c>
      <c r="B59" t="s">
        <v>4</v>
      </c>
      <c r="C59" s="3">
        <v>37.409897000000001</v>
      </c>
      <c r="D59" s="8">
        <f>LOOKUP(EOMONTH(A59,0),Target_Prices!A$2:A$38,Target_Prices!B$2:B$38)</f>
        <v>33.438499999999998</v>
      </c>
      <c r="E59">
        <f t="shared" si="1"/>
        <v>8.030181885093457E-2</v>
      </c>
      <c r="F59">
        <f t="shared" si="0"/>
        <v>-0.10615899316696871</v>
      </c>
    </row>
    <row r="60" spans="1:6" x14ac:dyDescent="0.35">
      <c r="A60" s="15">
        <v>44530</v>
      </c>
      <c r="B60" t="s">
        <v>4</v>
      </c>
      <c r="C60" s="4">
        <v>29.581786999999998</v>
      </c>
      <c r="D60" s="8">
        <f>LOOKUP(EOMONTH(A60,0),Target_Prices!A$2:A$38,Target_Prices!B$2:B$38)</f>
        <v>33.438499999999998</v>
      </c>
      <c r="E60">
        <f t="shared" si="1"/>
        <v>-0.20925238045964156</v>
      </c>
      <c r="F60">
        <f t="shared" si="0"/>
        <v>0.13037457811456757</v>
      </c>
    </row>
    <row r="61" spans="1:6" x14ac:dyDescent="0.35">
      <c r="A61" s="16">
        <v>44561</v>
      </c>
      <c r="B61" t="s">
        <v>4</v>
      </c>
      <c r="C61" s="3">
        <v>26.895063</v>
      </c>
      <c r="D61" s="8">
        <f>LOOKUP(EOMONTH(A61,0),Target_Prices!A$2:A$38,Target_Prices!B$2:B$38)</f>
        <v>30.722000000000001</v>
      </c>
      <c r="E61">
        <f t="shared" si="1"/>
        <v>-9.0823586823879143E-2</v>
      </c>
      <c r="F61">
        <f t="shared" si="0"/>
        <v>0.14229143095890873</v>
      </c>
    </row>
    <row r="62" spans="1:6" x14ac:dyDescent="0.35">
      <c r="A62" s="15">
        <v>44592</v>
      </c>
      <c r="B62" t="s">
        <v>4</v>
      </c>
      <c r="C62" s="4">
        <v>23.78228</v>
      </c>
      <c r="D62" s="8">
        <f>LOOKUP(EOMONTH(A62,0),Target_Prices!A$2:A$38,Target_Prices!B$2:B$38)</f>
        <v>30.722000000000001</v>
      </c>
      <c r="E62">
        <f t="shared" si="1"/>
        <v>-0.11573808174385014</v>
      </c>
      <c r="F62">
        <f t="shared" si="0"/>
        <v>0.29180213167114344</v>
      </c>
    </row>
    <row r="63" spans="1:6" x14ac:dyDescent="0.35">
      <c r="A63" s="16">
        <v>44620</v>
      </c>
      <c r="B63" t="s">
        <v>4</v>
      </c>
      <c r="C63" s="3">
        <v>29.23997</v>
      </c>
      <c r="D63" s="8">
        <f>LOOKUP(EOMONTH(A63,0),Target_Prices!A$2:A$38,Target_Prices!B$2:B$38)</f>
        <v>30.722000000000001</v>
      </c>
      <c r="E63">
        <f t="shared" si="1"/>
        <v>0.22948556656468599</v>
      </c>
      <c r="F63">
        <f t="shared" si="0"/>
        <v>5.0685072522304288E-2</v>
      </c>
    </row>
    <row r="64" spans="1:6" x14ac:dyDescent="0.35">
      <c r="A64" s="15">
        <v>44651</v>
      </c>
      <c r="B64" t="s">
        <v>4</v>
      </c>
      <c r="C64" s="4">
        <v>26.853697</v>
      </c>
      <c r="D64" s="8">
        <f>LOOKUP(EOMONTH(A64,0),Target_Prices!A$2:A$38,Target_Prices!B$2:B$38)</f>
        <v>26.6203</v>
      </c>
      <c r="E64">
        <f t="shared" si="1"/>
        <v>-8.1609967452086929E-2</v>
      </c>
      <c r="F64">
        <f t="shared" si="0"/>
        <v>-8.6914289678624163E-3</v>
      </c>
    </row>
    <row r="65" spans="1:6" x14ac:dyDescent="0.35">
      <c r="A65" s="16">
        <v>44680</v>
      </c>
      <c r="B65" t="s">
        <v>4</v>
      </c>
      <c r="C65" s="3">
        <v>24.576647000000001</v>
      </c>
      <c r="D65" s="8">
        <f>LOOKUP(EOMONTH(A65,0),Target_Prices!A$2:A$38,Target_Prices!B$2:B$38)</f>
        <v>26.6203</v>
      </c>
      <c r="E65">
        <f t="shared" si="1"/>
        <v>-8.4794656020733328E-2</v>
      </c>
      <c r="F65">
        <f t="shared" si="0"/>
        <v>8.3154264289998503E-2</v>
      </c>
    </row>
    <row r="66" spans="1:6" x14ac:dyDescent="0.35">
      <c r="A66" s="15">
        <v>44712</v>
      </c>
      <c r="B66" t="s">
        <v>4</v>
      </c>
      <c r="C66" s="4">
        <v>23.799097</v>
      </c>
      <c r="D66" s="8">
        <f>LOOKUP(EOMONTH(A66,0),Target_Prices!A$2:A$38,Target_Prices!B$2:B$38)</f>
        <v>26.6203</v>
      </c>
      <c r="E66">
        <f t="shared" si="1"/>
        <v>-3.1637757583449111E-2</v>
      </c>
      <c r="F66">
        <f t="shared" si="0"/>
        <v>0.11854243881606098</v>
      </c>
    </row>
    <row r="67" spans="1:6" x14ac:dyDescent="0.35">
      <c r="A67" s="16">
        <v>44742</v>
      </c>
      <c r="B67" t="s">
        <v>4</v>
      </c>
      <c r="C67" s="3">
        <v>20.156921000000001</v>
      </c>
      <c r="D67" s="8">
        <f>LOOKUP(EOMONTH(A67,0),Target_Prices!A$2:A$38,Target_Prices!B$2:B$38)</f>
        <v>26.032499999999999</v>
      </c>
      <c r="E67">
        <f t="shared" si="1"/>
        <v>-0.15303841149939423</v>
      </c>
      <c r="F67">
        <f t="shared" ref="F67:F130" si="2">(D67-C67)/C67</f>
        <v>0.29149189005602583</v>
      </c>
    </row>
    <row r="68" spans="1:6" x14ac:dyDescent="0.35">
      <c r="A68" s="15">
        <v>44771</v>
      </c>
      <c r="B68" t="s">
        <v>4</v>
      </c>
      <c r="C68" s="4">
        <v>25.457563</v>
      </c>
      <c r="D68" s="8">
        <f>LOOKUP(EOMONTH(A68,0),Target_Prices!A$2:A$38,Target_Prices!B$2:B$38)</f>
        <v>26.032499999999999</v>
      </c>
      <c r="E68">
        <f t="shared" ref="E68:E111" si="3">(C68/C67)-1</f>
        <v>0.26296883338482102</v>
      </c>
      <c r="F68">
        <f t="shared" si="2"/>
        <v>2.2584133445923259E-2</v>
      </c>
    </row>
    <row r="69" spans="1:6" x14ac:dyDescent="0.35">
      <c r="A69" s="16">
        <v>44804</v>
      </c>
      <c r="B69" t="s">
        <v>4</v>
      </c>
      <c r="C69" s="3">
        <v>25.065380000000001</v>
      </c>
      <c r="D69" s="8">
        <f>LOOKUP(EOMONTH(A69,0),Target_Prices!A$2:A$38,Target_Prices!B$2:B$38)</f>
        <v>26.032499999999999</v>
      </c>
      <c r="E69">
        <f t="shared" si="3"/>
        <v>-1.5405363034945663E-2</v>
      </c>
      <c r="F69">
        <f t="shared" si="2"/>
        <v>3.8583895396758307E-2</v>
      </c>
    </row>
    <row r="70" spans="1:6" x14ac:dyDescent="0.35">
      <c r="A70" s="15">
        <v>44834</v>
      </c>
      <c r="B70" t="s">
        <v>4</v>
      </c>
      <c r="C70" s="4">
        <v>19.046603999999999</v>
      </c>
      <c r="D70" s="8">
        <f>LOOKUP(EOMONTH(A70,0),Target_Prices!A$2:A$38,Target_Prices!B$2:B$38)</f>
        <v>25.1953</v>
      </c>
      <c r="E70">
        <f t="shared" si="3"/>
        <v>-0.24012307014695178</v>
      </c>
      <c r="F70">
        <f t="shared" si="2"/>
        <v>0.32282374327727931</v>
      </c>
    </row>
    <row r="71" spans="1:6" x14ac:dyDescent="0.35">
      <c r="A71" s="16">
        <v>44865</v>
      </c>
      <c r="B71" t="s">
        <v>4</v>
      </c>
      <c r="C71" s="3">
        <v>19.933385999999999</v>
      </c>
      <c r="D71" s="8">
        <f>LOOKUP(EOMONTH(A71,0),Target_Prices!A$2:A$38,Target_Prices!B$2:B$38)</f>
        <v>25.1953</v>
      </c>
      <c r="E71">
        <f t="shared" si="3"/>
        <v>4.6558536104388981E-2</v>
      </c>
      <c r="F71">
        <f t="shared" si="2"/>
        <v>0.26397492127027494</v>
      </c>
    </row>
    <row r="72" spans="1:6" x14ac:dyDescent="0.35">
      <c r="A72" s="15">
        <v>44895</v>
      </c>
      <c r="B72" t="s">
        <v>4</v>
      </c>
      <c r="C72" s="4">
        <v>24.127834</v>
      </c>
      <c r="D72" s="8">
        <f>LOOKUP(EOMONTH(A72,0),Target_Prices!A$2:A$38,Target_Prices!B$2:B$38)</f>
        <v>25.1953</v>
      </c>
      <c r="E72">
        <f t="shared" si="3"/>
        <v>0.21042325674122808</v>
      </c>
      <c r="F72">
        <f t="shared" si="2"/>
        <v>4.424209815103998E-2</v>
      </c>
    </row>
    <row r="73" spans="1:6" x14ac:dyDescent="0.35">
      <c r="A73" s="16">
        <v>44925</v>
      </c>
      <c r="B73" t="s">
        <v>4</v>
      </c>
      <c r="C73" s="3">
        <v>27.17699</v>
      </c>
      <c r="D73" s="8">
        <f>LOOKUP(EOMONTH(A73,0),Target_Prices!A$2:A$38,Target_Prices!B$2:B$38)</f>
        <v>25.708600000000001</v>
      </c>
      <c r="E73">
        <f t="shared" si="3"/>
        <v>0.12637504054445992</v>
      </c>
      <c r="F73">
        <f t="shared" si="2"/>
        <v>-5.4030634003250526E-2</v>
      </c>
    </row>
    <row r="74" spans="1:6" x14ac:dyDescent="0.35">
      <c r="A74" s="15">
        <v>44957</v>
      </c>
      <c r="B74" t="s">
        <v>4</v>
      </c>
      <c r="C74" s="4">
        <v>26.720524000000001</v>
      </c>
      <c r="D74" s="8">
        <f>LOOKUP(EOMONTH(A74,0),Target_Prices!A$2:A$38,Target_Prices!B$2:B$38)</f>
        <v>25.708600000000001</v>
      </c>
      <c r="E74">
        <f t="shared" si="3"/>
        <v>-1.6796046950011689E-2</v>
      </c>
      <c r="F74">
        <f t="shared" si="2"/>
        <v>-3.787066451241751E-2</v>
      </c>
    </row>
    <row r="75" spans="1:6" x14ac:dyDescent="0.35">
      <c r="A75" s="16">
        <v>44985</v>
      </c>
      <c r="B75" t="s">
        <v>4</v>
      </c>
      <c r="C75" s="3">
        <v>26.952988000000001</v>
      </c>
      <c r="D75" s="8">
        <f>LOOKUP(EOMONTH(A75,0),Target_Prices!A$2:A$38,Target_Prices!B$2:B$38)</f>
        <v>25.708600000000001</v>
      </c>
      <c r="E75">
        <f t="shared" si="3"/>
        <v>8.6998293895732548E-3</v>
      </c>
      <c r="F75">
        <f t="shared" si="2"/>
        <v>-4.6168832932363589E-2</v>
      </c>
    </row>
    <row r="76" spans="1:6" x14ac:dyDescent="0.35">
      <c r="A76" s="15">
        <v>45016</v>
      </c>
      <c r="B76" t="s">
        <v>4</v>
      </c>
      <c r="C76" s="4">
        <v>26.713923000000001</v>
      </c>
      <c r="D76" s="8">
        <f>LOOKUP(EOMONTH(A76,0),Target_Prices!A$2:A$38,Target_Prices!B$2:B$38)</f>
        <v>28.907</v>
      </c>
      <c r="E76">
        <f t="shared" si="3"/>
        <v>-8.86970305481527E-3</v>
      </c>
      <c r="F76">
        <f t="shared" si="2"/>
        <v>8.2094906090730238E-2</v>
      </c>
    </row>
    <row r="77" spans="1:6" x14ac:dyDescent="0.35">
      <c r="A77" s="16">
        <v>45044</v>
      </c>
      <c r="B77" t="s">
        <v>4</v>
      </c>
      <c r="C77" s="3">
        <v>25.016655</v>
      </c>
      <c r="D77" s="8">
        <f>LOOKUP(EOMONTH(A77,0),Target_Prices!A$2:A$38,Target_Prices!B$2:B$38)</f>
        <v>28.907</v>
      </c>
      <c r="E77">
        <f t="shared" si="3"/>
        <v>-6.3534958905137273E-2</v>
      </c>
      <c r="F77">
        <f t="shared" si="2"/>
        <v>0.15551019910535602</v>
      </c>
    </row>
    <row r="78" spans="1:6" x14ac:dyDescent="0.35">
      <c r="A78" s="15">
        <v>45077</v>
      </c>
      <c r="B78" t="s">
        <v>4</v>
      </c>
      <c r="C78" s="4">
        <v>26.633823</v>
      </c>
      <c r="D78" s="8">
        <f>LOOKUP(EOMONTH(A78,0),Target_Prices!A$2:A$38,Target_Prices!B$2:B$38)</f>
        <v>28.907</v>
      </c>
      <c r="E78">
        <f t="shared" si="3"/>
        <v>6.4643654397440464E-2</v>
      </c>
      <c r="F78">
        <f t="shared" si="2"/>
        <v>8.5349256845327862E-2</v>
      </c>
    </row>
    <row r="79" spans="1:6" x14ac:dyDescent="0.35">
      <c r="A79" s="16">
        <v>45107</v>
      </c>
      <c r="B79" t="s">
        <v>4</v>
      </c>
      <c r="C79" s="3">
        <v>24.370419999999999</v>
      </c>
      <c r="D79" s="8">
        <f>LOOKUP(EOMONTH(A79,0),Target_Prices!A$2:A$38,Target_Prices!B$2:B$38)</f>
        <v>28.985099999999999</v>
      </c>
      <c r="E79">
        <f t="shared" si="3"/>
        <v>-8.4982279862714449E-2</v>
      </c>
      <c r="F79">
        <f t="shared" si="2"/>
        <v>0.18935578459460281</v>
      </c>
    </row>
    <row r="80" spans="1:6" x14ac:dyDescent="0.35">
      <c r="A80" s="15">
        <v>45138</v>
      </c>
      <c r="B80" t="s">
        <v>4</v>
      </c>
      <c r="C80" s="4">
        <v>24.373138000000001</v>
      </c>
      <c r="D80" s="8">
        <f>LOOKUP(EOMONTH(A80,0),Target_Prices!A$2:A$38,Target_Prices!B$2:B$38)</f>
        <v>28.985099999999999</v>
      </c>
      <c r="E80">
        <f t="shared" si="3"/>
        <v>1.1152864825469955E-4</v>
      </c>
      <c r="F80">
        <f t="shared" si="2"/>
        <v>0.18922315214397087</v>
      </c>
    </row>
    <row r="81" spans="1:6" x14ac:dyDescent="0.35">
      <c r="A81" s="16">
        <v>45169</v>
      </c>
      <c r="B81" t="s">
        <v>4</v>
      </c>
      <c r="C81" s="3">
        <v>21.330881000000002</v>
      </c>
      <c r="D81" s="8">
        <f>LOOKUP(EOMONTH(A81,0),Target_Prices!A$2:A$38,Target_Prices!B$2:B$38)</f>
        <v>28.985099999999999</v>
      </c>
      <c r="E81">
        <f t="shared" si="3"/>
        <v>-0.12482007856353983</v>
      </c>
      <c r="F81">
        <f t="shared" si="2"/>
        <v>0.35883276457263991</v>
      </c>
    </row>
    <row r="82" spans="1:6" x14ac:dyDescent="0.35">
      <c r="A82" s="15">
        <v>45198</v>
      </c>
      <c r="B82" t="s">
        <v>4</v>
      </c>
      <c r="C82" s="4">
        <v>20.324560000000002</v>
      </c>
      <c r="D82" s="8">
        <f>LOOKUP(EOMONTH(A82,0),Target_Prices!A$2:A$38,Target_Prices!B$2:B$38)</f>
        <v>27.151</v>
      </c>
      <c r="E82">
        <f t="shared" si="3"/>
        <v>-4.7176719986389726E-2</v>
      </c>
      <c r="F82">
        <f t="shared" si="2"/>
        <v>0.33587147766052489</v>
      </c>
    </row>
    <row r="83" spans="1:6" x14ac:dyDescent="0.35">
      <c r="A83" s="16">
        <v>45230</v>
      </c>
      <c r="B83" t="s">
        <v>4</v>
      </c>
      <c r="C83" s="3">
        <v>20.399667999999998</v>
      </c>
      <c r="D83" s="8">
        <f>LOOKUP(EOMONTH(A83,0),Target_Prices!A$2:A$38,Target_Prices!B$2:B$38)</f>
        <v>27.151</v>
      </c>
      <c r="E83">
        <f t="shared" si="3"/>
        <v>3.6954305529859344E-3</v>
      </c>
      <c r="F83">
        <f t="shared" si="2"/>
        <v>0.33095303315720637</v>
      </c>
    </row>
    <row r="84" spans="1:6" x14ac:dyDescent="0.35">
      <c r="A84" s="15">
        <v>45260</v>
      </c>
      <c r="B84" t="s">
        <v>4</v>
      </c>
      <c r="C84" s="4">
        <v>25.425013</v>
      </c>
      <c r="D84" s="8">
        <f>LOOKUP(EOMONTH(A84,0),Target_Prices!A$2:A$38,Target_Prices!B$2:B$38)</f>
        <v>27.151</v>
      </c>
      <c r="E84">
        <f t="shared" si="3"/>
        <v>0.24634445031164232</v>
      </c>
      <c r="F84">
        <f t="shared" si="2"/>
        <v>6.7885393018284793E-2</v>
      </c>
    </row>
    <row r="85" spans="1:6" x14ac:dyDescent="0.35">
      <c r="A85" s="16">
        <v>45289</v>
      </c>
      <c r="B85" t="s">
        <v>4</v>
      </c>
      <c r="C85" s="3">
        <v>28.747485999999999</v>
      </c>
      <c r="D85" s="8">
        <f>LOOKUP(EOMONTH(A85,0),Target_Prices!A$2:A$38,Target_Prices!B$2:B$38)</f>
        <v>26.475000000000001</v>
      </c>
      <c r="E85">
        <f t="shared" si="3"/>
        <v>0.13067733731345577</v>
      </c>
      <c r="F85">
        <f t="shared" si="2"/>
        <v>-7.90499037028837E-2</v>
      </c>
    </row>
    <row r="86" spans="1:6" x14ac:dyDescent="0.35">
      <c r="A86" s="15">
        <v>45322</v>
      </c>
      <c r="B86" t="s">
        <v>4</v>
      </c>
      <c r="C86" s="4">
        <v>26.384459</v>
      </c>
      <c r="D86" s="8">
        <f>LOOKUP(EOMONTH(A86,0),Target_Prices!A$2:A$38,Target_Prices!B$2:B$38)</f>
        <v>26.475000000000001</v>
      </c>
      <c r="E86">
        <f t="shared" si="3"/>
        <v>-8.2199431282443225E-2</v>
      </c>
      <c r="F86">
        <f t="shared" si="2"/>
        <v>3.4316034298827866E-3</v>
      </c>
    </row>
    <row r="87" spans="1:6" x14ac:dyDescent="0.35">
      <c r="A87" s="16">
        <v>45351</v>
      </c>
      <c r="B87" t="s">
        <v>4</v>
      </c>
      <c r="C87" s="3">
        <v>25.749334000000001</v>
      </c>
      <c r="D87" s="8">
        <f>LOOKUP(EOMONTH(A87,0),Target_Prices!A$2:A$38,Target_Prices!B$2:B$38)</f>
        <v>26.475000000000001</v>
      </c>
      <c r="E87">
        <f t="shared" si="3"/>
        <v>-2.40719356800152E-2</v>
      </c>
      <c r="F87">
        <f t="shared" si="2"/>
        <v>2.8181932783193551E-2</v>
      </c>
    </row>
    <row r="88" spans="1:6" x14ac:dyDescent="0.35">
      <c r="A88" s="15">
        <v>45380</v>
      </c>
      <c r="B88" t="s">
        <v>4</v>
      </c>
      <c r="C88" s="4">
        <v>25.875520000000002</v>
      </c>
      <c r="D88" s="8">
        <f>LOOKUP(EOMONTH(A88,0),Target_Prices!A$2:A$38,Target_Prices!B$2:B$38)</f>
        <v>29.361499999999999</v>
      </c>
      <c r="E88">
        <f t="shared" si="3"/>
        <v>4.9005539327735548E-3</v>
      </c>
      <c r="F88">
        <f t="shared" si="2"/>
        <v>0.13472115729461659</v>
      </c>
    </row>
    <row r="89" spans="1:6" x14ac:dyDescent="0.35">
      <c r="A89" s="16">
        <v>45412</v>
      </c>
      <c r="B89" t="s">
        <v>4</v>
      </c>
      <c r="C89" s="3">
        <v>25.260134000000001</v>
      </c>
      <c r="D89" s="8">
        <f>LOOKUP(EOMONTH(A89,0),Target_Prices!A$2:A$38,Target_Prices!B$2:B$38)</f>
        <v>29.361499999999999</v>
      </c>
      <c r="E89">
        <f t="shared" si="3"/>
        <v>-2.3782555867476352E-2</v>
      </c>
      <c r="F89">
        <f t="shared" si="2"/>
        <v>0.16236517193455896</v>
      </c>
    </row>
    <row r="90" spans="1:6" x14ac:dyDescent="0.35">
      <c r="A90" s="15">
        <v>45443</v>
      </c>
      <c r="B90" t="s">
        <v>4</v>
      </c>
      <c r="C90" s="4">
        <v>25.855255</v>
      </c>
      <c r="D90" s="8">
        <f>LOOKUP(EOMONTH(A90,0),Target_Prices!A$2:A$38,Target_Prices!B$2:B$38)</f>
        <v>29.361499999999999</v>
      </c>
      <c r="E90">
        <f t="shared" si="3"/>
        <v>2.3559692913742936E-2</v>
      </c>
      <c r="F90">
        <f t="shared" si="2"/>
        <v>0.13561053642673412</v>
      </c>
    </row>
    <row r="91" spans="1:6" x14ac:dyDescent="0.35">
      <c r="A91" s="16">
        <v>45471</v>
      </c>
      <c r="B91" t="s">
        <v>4</v>
      </c>
      <c r="C91" s="3">
        <v>21.622669999999999</v>
      </c>
      <c r="D91" s="8">
        <f>LOOKUP(EOMONTH(A91,0),Target_Prices!A$2:A$38,Target_Prices!B$2:B$38)</f>
        <v>28.927299999999999</v>
      </c>
      <c r="E91">
        <f t="shared" si="3"/>
        <v>-0.16370308473074435</v>
      </c>
      <c r="F91">
        <f t="shared" si="2"/>
        <v>0.33782275731905448</v>
      </c>
    </row>
    <row r="92" spans="1:6" x14ac:dyDescent="0.35">
      <c r="A92" s="15">
        <v>45504</v>
      </c>
      <c r="B92" t="s">
        <v>4</v>
      </c>
      <c r="C92" s="4">
        <v>22.815435000000001</v>
      </c>
      <c r="D92" s="8">
        <f>LOOKUP(EOMONTH(A92,0),Target_Prices!A$2:A$38,Target_Prices!B$2:B$38)</f>
        <v>28.927299999999999</v>
      </c>
      <c r="E92">
        <f t="shared" si="3"/>
        <v>5.5162706548266272E-2</v>
      </c>
      <c r="F92">
        <f t="shared" si="2"/>
        <v>0.26788290470902693</v>
      </c>
    </row>
    <row r="93" spans="1:6" x14ac:dyDescent="0.35">
      <c r="A93" s="16">
        <v>45534</v>
      </c>
      <c r="B93" t="s">
        <v>4</v>
      </c>
      <c r="C93" s="3">
        <v>20.76698</v>
      </c>
      <c r="D93" s="8">
        <f>LOOKUP(EOMONTH(A93,0),Target_Prices!A$2:A$38,Target_Prices!B$2:B$38)</f>
        <v>28.927299999999999</v>
      </c>
      <c r="E93">
        <f t="shared" si="3"/>
        <v>-8.9783736317102902E-2</v>
      </c>
      <c r="F93">
        <f t="shared" si="2"/>
        <v>0.39294688009522805</v>
      </c>
    </row>
    <row r="94" spans="1:6" x14ac:dyDescent="0.35">
      <c r="A94" s="15">
        <v>45565</v>
      </c>
      <c r="B94" t="s">
        <v>4</v>
      </c>
      <c r="C94" s="4">
        <v>19.833241999999998</v>
      </c>
      <c r="D94" s="8">
        <f>LOOKUP(EOMONTH(A94,0),Target_Prices!A$2:A$38,Target_Prices!B$2:B$38)</f>
        <v>27.245200000000001</v>
      </c>
      <c r="E94">
        <f t="shared" si="3"/>
        <v>-4.4962628172223518E-2</v>
      </c>
      <c r="F94">
        <f t="shared" si="2"/>
        <v>0.37371388903538827</v>
      </c>
    </row>
    <row r="95" spans="1:6" x14ac:dyDescent="0.35">
      <c r="A95" s="16">
        <v>45596</v>
      </c>
      <c r="B95" t="s">
        <v>4</v>
      </c>
      <c r="C95" s="3">
        <v>17.309432999999999</v>
      </c>
      <c r="D95" s="8">
        <f>LOOKUP(EOMONTH(A95,0),Target_Prices!A$2:A$38,Target_Prices!B$2:B$38)</f>
        <v>27.245200000000001</v>
      </c>
      <c r="E95">
        <f t="shared" si="3"/>
        <v>-0.12725145994789955</v>
      </c>
      <c r="F95">
        <f t="shared" si="2"/>
        <v>0.57400880779861496</v>
      </c>
    </row>
    <row r="96" spans="1:6" x14ac:dyDescent="0.35">
      <c r="A96" s="15">
        <v>45625</v>
      </c>
      <c r="B96" t="s">
        <v>4</v>
      </c>
      <c r="C96" s="4">
        <v>14.709375</v>
      </c>
      <c r="D96" s="8">
        <f>LOOKUP(EOMONTH(A96,0),Target_Prices!A$2:A$38,Target_Prices!B$2:B$38)</f>
        <v>27.245200000000001</v>
      </c>
      <c r="E96">
        <f t="shared" si="3"/>
        <v>-0.15021046616604938</v>
      </c>
      <c r="F96">
        <f t="shared" si="2"/>
        <v>0.85223369449755693</v>
      </c>
    </row>
    <row r="97" spans="1:6" x14ac:dyDescent="0.35">
      <c r="A97" s="16">
        <v>45657</v>
      </c>
      <c r="B97" t="s">
        <v>4</v>
      </c>
      <c r="C97" s="3">
        <v>13.150385</v>
      </c>
      <c r="D97" s="8">
        <f>LOOKUP(EOMONTH(A97,0),Target_Prices!A$2:A$38,Target_Prices!B$2:B$38)</f>
        <v>21.418900000000001</v>
      </c>
      <c r="E97">
        <f t="shared" si="3"/>
        <v>-0.10598614828978115</v>
      </c>
      <c r="F97">
        <f t="shared" si="2"/>
        <v>0.62876600190792897</v>
      </c>
    </row>
    <row r="98" spans="1:6" x14ac:dyDescent="0.35">
      <c r="A98" s="15">
        <v>45688</v>
      </c>
      <c r="B98" t="s">
        <v>4</v>
      </c>
      <c r="C98" s="4">
        <v>13.259007</v>
      </c>
      <c r="D98" s="8">
        <f>LOOKUP(EOMONTH(A98,0),Target_Prices!A$2:A$38,Target_Prices!B$2:B$38)</f>
        <v>21.418900000000001</v>
      </c>
      <c r="E98">
        <f t="shared" si="3"/>
        <v>8.2599863045835775E-3</v>
      </c>
      <c r="F98">
        <f t="shared" si="2"/>
        <v>0.61542263308255285</v>
      </c>
    </row>
    <row r="99" spans="1:6" x14ac:dyDescent="0.35">
      <c r="A99" s="16">
        <v>45716</v>
      </c>
      <c r="B99" t="s">
        <v>4</v>
      </c>
      <c r="C99" s="3">
        <v>13.59662</v>
      </c>
      <c r="D99" s="8">
        <f>LOOKUP(EOMONTH(A99,0),Target_Prices!A$2:A$38,Target_Prices!B$2:B$38)</f>
        <v>21.418900000000001</v>
      </c>
      <c r="E99">
        <f t="shared" si="3"/>
        <v>2.5462917396453566E-2</v>
      </c>
      <c r="F99">
        <f t="shared" si="2"/>
        <v>0.57531062867094918</v>
      </c>
    </row>
    <row r="100" spans="1:6" x14ac:dyDescent="0.35">
      <c r="A100" s="15">
        <v>45747</v>
      </c>
      <c r="B100" t="s">
        <v>4</v>
      </c>
      <c r="C100" s="4">
        <v>12.722808000000001</v>
      </c>
      <c r="D100" s="8">
        <f>LOOKUP(EOMONTH(A100,0),Target_Prices!A$2:A$38,Target_Prices!B$2:B$38)</f>
        <v>19.206900000000001</v>
      </c>
      <c r="E100">
        <f t="shared" si="3"/>
        <v>-6.4266854556500053E-2</v>
      </c>
      <c r="F100">
        <f t="shared" si="2"/>
        <v>0.50964315424708129</v>
      </c>
    </row>
    <row r="101" spans="1:6" x14ac:dyDescent="0.35">
      <c r="A101" s="16">
        <v>45777</v>
      </c>
      <c r="B101" t="s">
        <v>4</v>
      </c>
      <c r="C101" s="3">
        <v>11.691917</v>
      </c>
      <c r="D101" s="8">
        <f>LOOKUP(EOMONTH(A101,0),Target_Prices!A$2:A$38,Target_Prices!B$2:B$38)</f>
        <v>19.206900000000001</v>
      </c>
      <c r="E101">
        <f t="shared" si="3"/>
        <v>-8.1027002844026308E-2</v>
      </c>
      <c r="F101">
        <f t="shared" si="2"/>
        <v>0.64275028637305587</v>
      </c>
    </row>
    <row r="102" spans="1:6" x14ac:dyDescent="0.35">
      <c r="A102" s="15">
        <v>45807</v>
      </c>
      <c r="B102" t="s">
        <v>4</v>
      </c>
      <c r="C102" s="4">
        <v>13.896000000000001</v>
      </c>
      <c r="D102" s="8">
        <f>LOOKUP(EOMONTH(A102,0),Target_Prices!A$2:A$38,Target_Prices!B$2:B$38)</f>
        <v>19.206900000000001</v>
      </c>
      <c r="E102">
        <f t="shared" si="3"/>
        <v>0.18851339776017917</v>
      </c>
      <c r="F102">
        <f t="shared" si="2"/>
        <v>0.38218911917098447</v>
      </c>
    </row>
    <row r="103" spans="1:6" x14ac:dyDescent="0.35">
      <c r="A103" s="16">
        <v>45838</v>
      </c>
      <c r="B103" t="s">
        <v>4</v>
      </c>
      <c r="C103" s="3">
        <v>12.735974000000001</v>
      </c>
      <c r="D103" s="8">
        <f>LOOKUP(EOMONTH(A103,0),Target_Prices!A$2:A$38,Target_Prices!B$2:B$38)</f>
        <v>17.8932</v>
      </c>
      <c r="E103">
        <f t="shared" si="3"/>
        <v>-8.3479130685089276E-2</v>
      </c>
      <c r="F103">
        <f t="shared" si="2"/>
        <v>0.4049337726349001</v>
      </c>
    </row>
    <row r="104" spans="1:6" x14ac:dyDescent="0.35">
      <c r="A104" s="15">
        <v>45869</v>
      </c>
      <c r="B104" t="s">
        <v>4</v>
      </c>
      <c r="C104" s="4">
        <v>16.080846999999999</v>
      </c>
      <c r="D104" s="8">
        <f>LOOKUP(EOMONTH(A104,0),Target_Prices!A$2:A$38,Target_Prices!B$2:B$38)</f>
        <v>17.8932</v>
      </c>
      <c r="E104">
        <f t="shared" si="3"/>
        <v>0.2626318960764209</v>
      </c>
      <c r="F104">
        <f t="shared" si="2"/>
        <v>0.11270258339004169</v>
      </c>
    </row>
    <row r="105" spans="1:6" x14ac:dyDescent="0.35">
      <c r="A105" s="16">
        <v>45898</v>
      </c>
      <c r="B105" t="s">
        <v>4</v>
      </c>
      <c r="C105" s="3">
        <v>17.013701999999999</v>
      </c>
      <c r="D105" s="8">
        <f>LOOKUP(EOMONTH(A105,0),Target_Prices!A$2:A$38,Target_Prices!B$2:B$38)</f>
        <v>17.8932</v>
      </c>
      <c r="E105">
        <f t="shared" si="3"/>
        <v>5.8010315003929724E-2</v>
      </c>
      <c r="F105">
        <f t="shared" si="2"/>
        <v>5.1693511500319082E-2</v>
      </c>
    </row>
    <row r="106" spans="1:6" x14ac:dyDescent="0.35">
      <c r="A106" s="15">
        <v>45930</v>
      </c>
      <c r="B106" t="s">
        <v>4</v>
      </c>
      <c r="C106" s="4">
        <v>16.049215</v>
      </c>
      <c r="D106" s="8">
        <f>LOOKUP(EOMONTH(A106,0),Target_Prices!A$2:A$38,Target_Prices!B$2:B$38)</f>
        <v>18.9587</v>
      </c>
      <c r="E106">
        <f t="shared" si="3"/>
        <v>-5.6688838208168835E-2</v>
      </c>
      <c r="F106">
        <f t="shared" si="2"/>
        <v>0.18128519058408776</v>
      </c>
    </row>
    <row r="107" spans="1:6" x14ac:dyDescent="0.35">
      <c r="A107" s="16">
        <v>45961</v>
      </c>
      <c r="B107" t="s">
        <v>4</v>
      </c>
      <c r="C107" s="3">
        <v>17.670719999999999</v>
      </c>
      <c r="D107" s="8">
        <f>LOOKUP(EOMONTH(A107,0),Target_Prices!A$2:A$38,Target_Prices!B$2:B$38)</f>
        <v>18.9587</v>
      </c>
      <c r="E107">
        <f t="shared" si="3"/>
        <v>0.10103329041326936</v>
      </c>
      <c r="F107">
        <f t="shared" si="2"/>
        <v>7.2887805363901478E-2</v>
      </c>
    </row>
    <row r="108" spans="1:6" x14ac:dyDescent="0.35">
      <c r="A108" s="15">
        <v>45989</v>
      </c>
      <c r="B108" t="s">
        <v>4</v>
      </c>
      <c r="C108" s="4">
        <v>20.505521999999999</v>
      </c>
      <c r="D108" s="8">
        <f>LOOKUP(EOMONTH(A108,0),Target_Prices!A$2:A$38,Target_Prices!B$2:B$38)</f>
        <v>18.9587</v>
      </c>
      <c r="E108">
        <f t="shared" si="3"/>
        <v>0.16042368392459383</v>
      </c>
      <c r="F108">
        <f t="shared" si="2"/>
        <v>-7.5434412252465402E-2</v>
      </c>
    </row>
    <row r="109" spans="1:6" x14ac:dyDescent="0.35">
      <c r="A109" s="16">
        <v>46022</v>
      </c>
      <c r="B109" t="s">
        <v>4</v>
      </c>
      <c r="C109" s="3">
        <v>23.219069000000001</v>
      </c>
      <c r="D109" s="8">
        <f>LOOKUP(EOMONTH(A109,0),Target_Prices!A$2:A$38,Target_Prices!B$2:B$38)</f>
        <v>22.1403</v>
      </c>
      <c r="E109">
        <f t="shared" si="3"/>
        <v>0.13233250048450373</v>
      </c>
      <c r="F109">
        <f t="shared" si="2"/>
        <v>-4.6460476085410707E-2</v>
      </c>
    </row>
    <row r="110" spans="1:6" x14ac:dyDescent="0.35">
      <c r="A110" s="15">
        <v>46052</v>
      </c>
      <c r="B110" t="s">
        <v>4</v>
      </c>
      <c r="C110" s="4">
        <v>25.663955999999999</v>
      </c>
      <c r="D110" s="8">
        <f>LOOKUP(EOMONTH(A110,0),Target_Prices!A$2:A$38,Target_Prices!B$2:B$38)</f>
        <v>22.1403</v>
      </c>
      <c r="E110">
        <f t="shared" si="3"/>
        <v>0.10529651296526987</v>
      </c>
      <c r="F110">
        <f t="shared" si="2"/>
        <v>-0.13729979898656305</v>
      </c>
    </row>
    <row r="111" spans="1:6" s="11" customFormat="1" x14ac:dyDescent="0.35">
      <c r="A111" s="15">
        <v>46080</v>
      </c>
      <c r="B111" s="11" t="s">
        <v>4</v>
      </c>
      <c r="C111" s="12">
        <v>21.742708</v>
      </c>
      <c r="D111" s="8">
        <f>LOOKUP(EOMONTH(A111,0),Target_Prices!A$2:A$38,Target_Prices!B$2:B$38)</f>
        <v>22.1403</v>
      </c>
      <c r="E111">
        <f t="shared" si="3"/>
        <v>-0.15279203252998086</v>
      </c>
      <c r="F111">
        <f t="shared" si="2"/>
        <v>1.8286222672907141E-2</v>
      </c>
    </row>
    <row r="112" spans="1:6" x14ac:dyDescent="0.35">
      <c r="A112" s="15">
        <v>42766</v>
      </c>
      <c r="B112" t="s">
        <v>5</v>
      </c>
      <c r="C112" s="4">
        <v>19.482880000000002</v>
      </c>
      <c r="D112" s="8">
        <f>LOOKUP(EOMONTH(A112,0),Target_Prices!A$2:A$38,Target_Prices!C$2:C$38)</f>
        <v>19.664400000000001</v>
      </c>
      <c r="F112">
        <f t="shared" si="2"/>
        <v>9.3168977071151193E-3</v>
      </c>
    </row>
    <row r="113" spans="1:6" x14ac:dyDescent="0.35">
      <c r="A113" s="16">
        <v>42794</v>
      </c>
      <c r="B113" t="s">
        <v>5</v>
      </c>
      <c r="C113" s="3">
        <v>19.314620999999999</v>
      </c>
      <c r="D113" s="8">
        <f>LOOKUP(EOMONTH(A113,0),Target_Prices!A$2:A$38,Target_Prices!C$2:C$38)</f>
        <v>19.664400000000001</v>
      </c>
      <c r="E113">
        <f>(C113/C112)-1</f>
        <v>-8.6362488502728096E-3</v>
      </c>
      <c r="F113">
        <f t="shared" si="2"/>
        <v>1.8109545095396987E-2</v>
      </c>
    </row>
    <row r="114" spans="1:6" x14ac:dyDescent="0.35">
      <c r="A114" s="15">
        <v>42825</v>
      </c>
      <c r="B114" t="s">
        <v>5</v>
      </c>
      <c r="C114" s="4">
        <v>20.097978999999999</v>
      </c>
      <c r="D114" s="8">
        <f>LOOKUP(EOMONTH(A114,0),Target_Prices!A$2:A$38,Target_Prices!C$2:C$38)</f>
        <v>20.8855</v>
      </c>
      <c r="E114">
        <f t="shared" ref="E114:E177" si="4">(C114/C113)-1</f>
        <v>4.055777227003321E-2</v>
      </c>
      <c r="F114">
        <f t="shared" si="2"/>
        <v>3.9184089106670962E-2</v>
      </c>
    </row>
    <row r="115" spans="1:6" x14ac:dyDescent="0.35">
      <c r="A115" s="16">
        <v>42853</v>
      </c>
      <c r="B115" t="s">
        <v>5</v>
      </c>
      <c r="C115" s="3">
        <v>20.102758000000001</v>
      </c>
      <c r="D115" s="8">
        <f>LOOKUP(EOMONTH(A115,0),Target_Prices!A$2:A$38,Target_Prices!C$2:C$38)</f>
        <v>20.8855</v>
      </c>
      <c r="E115">
        <f t="shared" si="4"/>
        <v>2.3778510267136177E-4</v>
      </c>
      <c r="F115">
        <f t="shared" si="2"/>
        <v>3.8937045354672177E-2</v>
      </c>
    </row>
    <row r="116" spans="1:6" x14ac:dyDescent="0.35">
      <c r="A116" s="15">
        <v>42886</v>
      </c>
      <c r="B116" t="s">
        <v>5</v>
      </c>
      <c r="C116" s="4">
        <v>21.598272000000001</v>
      </c>
      <c r="D116" s="8">
        <f>LOOKUP(EOMONTH(A116,0),Target_Prices!A$2:A$38,Target_Prices!C$2:C$38)</f>
        <v>20.8855</v>
      </c>
      <c r="E116">
        <f t="shared" si="4"/>
        <v>7.4393473771111385E-2</v>
      </c>
      <c r="F116">
        <f t="shared" si="2"/>
        <v>-3.3001343811208644E-2</v>
      </c>
    </row>
    <row r="117" spans="1:6" x14ac:dyDescent="0.35">
      <c r="A117" s="16">
        <v>42916</v>
      </c>
      <c r="B117" t="s">
        <v>5</v>
      </c>
      <c r="C117" s="3">
        <v>21.970345999999999</v>
      </c>
      <c r="D117" s="8">
        <f>LOOKUP(EOMONTH(A117,0),Target_Prices!A$2:A$38,Target_Prices!C$2:C$38)</f>
        <v>21.898</v>
      </c>
      <c r="E117">
        <f t="shared" si="4"/>
        <v>1.7227026310252969E-2</v>
      </c>
      <c r="F117">
        <f t="shared" si="2"/>
        <v>-3.2928930659535168E-3</v>
      </c>
    </row>
    <row r="118" spans="1:6" x14ac:dyDescent="0.35">
      <c r="A118" s="15">
        <v>42947</v>
      </c>
      <c r="B118" t="s">
        <v>5</v>
      </c>
      <c r="C118" s="4">
        <v>22.637955000000002</v>
      </c>
      <c r="D118" s="8">
        <f>LOOKUP(EOMONTH(A118,0),Target_Prices!A$2:A$38,Target_Prices!C$2:C$38)</f>
        <v>21.898</v>
      </c>
      <c r="E118">
        <f t="shared" si="4"/>
        <v>3.0386822310399797E-2</v>
      </c>
      <c r="F118">
        <f t="shared" si="2"/>
        <v>-3.2686477201673114E-2</v>
      </c>
    </row>
    <row r="119" spans="1:6" x14ac:dyDescent="0.35">
      <c r="A119" s="16">
        <v>42978</v>
      </c>
      <c r="B119" t="s">
        <v>5</v>
      </c>
      <c r="C119" s="3">
        <v>24.301400000000001</v>
      </c>
      <c r="D119" s="8">
        <f>LOOKUP(EOMONTH(A119,0),Target_Prices!A$2:A$38,Target_Prices!C$2:C$38)</f>
        <v>21.898</v>
      </c>
      <c r="E119">
        <f t="shared" si="4"/>
        <v>7.3480356330772878E-2</v>
      </c>
      <c r="F119">
        <f t="shared" si="2"/>
        <v>-9.8899651871908661E-2</v>
      </c>
    </row>
    <row r="120" spans="1:6" x14ac:dyDescent="0.35">
      <c r="A120" s="15">
        <v>43007</v>
      </c>
      <c r="B120" t="s">
        <v>5</v>
      </c>
      <c r="C120" s="4">
        <v>26.917282</v>
      </c>
      <c r="D120" s="8">
        <f>LOOKUP(EOMONTH(A120,0),Target_Prices!A$2:A$38,Target_Prices!C$2:C$38)</f>
        <v>25.191500000000001</v>
      </c>
      <c r="E120">
        <f t="shared" si="4"/>
        <v>0.10764326335108265</v>
      </c>
      <c r="F120">
        <f t="shared" si="2"/>
        <v>-6.4114274242102115E-2</v>
      </c>
    </row>
    <row r="121" spans="1:6" x14ac:dyDescent="0.35">
      <c r="A121" s="16">
        <v>43039</v>
      </c>
      <c r="B121" t="s">
        <v>5</v>
      </c>
      <c r="C121" s="3">
        <v>26.739747999999999</v>
      </c>
      <c r="D121" s="8">
        <f>LOOKUP(EOMONTH(A121,0),Target_Prices!A$2:A$38,Target_Prices!C$2:C$38)</f>
        <v>25.191500000000001</v>
      </c>
      <c r="E121">
        <f t="shared" si="4"/>
        <v>-6.5955396239487651E-3</v>
      </c>
      <c r="F121">
        <f t="shared" si="2"/>
        <v>-5.7900620454613014E-2</v>
      </c>
    </row>
    <row r="122" spans="1:6" x14ac:dyDescent="0.35">
      <c r="A122" s="15">
        <v>43069</v>
      </c>
      <c r="B122" t="s">
        <v>5</v>
      </c>
      <c r="C122" s="4">
        <v>27.169105999999999</v>
      </c>
      <c r="D122" s="8">
        <f>LOOKUP(EOMONTH(A122,0),Target_Prices!A$2:A$38,Target_Prices!C$2:C$38)</f>
        <v>25.191500000000001</v>
      </c>
      <c r="E122">
        <f t="shared" si="4"/>
        <v>1.6056920207325742E-2</v>
      </c>
      <c r="F122">
        <f t="shared" si="2"/>
        <v>-7.2788777076433733E-2</v>
      </c>
    </row>
    <row r="123" spans="1:6" x14ac:dyDescent="0.35">
      <c r="A123" s="16">
        <v>43098</v>
      </c>
      <c r="B123" t="s">
        <v>5</v>
      </c>
      <c r="C123" s="3">
        <v>25.283905000000001</v>
      </c>
      <c r="D123" s="8">
        <f>LOOKUP(EOMONTH(A123,0),Target_Prices!A$2:A$38,Target_Prices!C$2:C$38)</f>
        <v>26.853200000000001</v>
      </c>
      <c r="E123">
        <f t="shared" si="4"/>
        <v>-6.9387671423564612E-2</v>
      </c>
      <c r="F123">
        <f t="shared" si="2"/>
        <v>6.2066955242870918E-2</v>
      </c>
    </row>
    <row r="124" spans="1:6" x14ac:dyDescent="0.35">
      <c r="A124" s="15">
        <v>43131</v>
      </c>
      <c r="B124" t="s">
        <v>5</v>
      </c>
      <c r="C124" s="4">
        <v>27.183792</v>
      </c>
      <c r="D124" s="8">
        <f>LOOKUP(EOMONTH(A124,0),Target_Prices!A$2:A$38,Target_Prices!C$2:C$38)</f>
        <v>26.853200000000001</v>
      </c>
      <c r="E124">
        <f t="shared" si="4"/>
        <v>7.5142150708128241E-2</v>
      </c>
      <c r="F124">
        <f t="shared" si="2"/>
        <v>-1.216136438948618E-2</v>
      </c>
    </row>
    <row r="125" spans="1:6" x14ac:dyDescent="0.35">
      <c r="A125" s="16">
        <v>43159</v>
      </c>
      <c r="B125" t="s">
        <v>5</v>
      </c>
      <c r="C125" s="3">
        <v>28.433062</v>
      </c>
      <c r="D125" s="8">
        <f>LOOKUP(EOMONTH(A125,0),Target_Prices!A$2:A$38,Target_Prices!C$2:C$38)</f>
        <v>26.853200000000001</v>
      </c>
      <c r="E125">
        <f t="shared" si="4"/>
        <v>4.5956428742538913E-2</v>
      </c>
      <c r="F125">
        <f t="shared" si="2"/>
        <v>-5.5564258256813798E-2</v>
      </c>
    </row>
    <row r="126" spans="1:6" x14ac:dyDescent="0.35">
      <c r="A126" s="15">
        <v>43189</v>
      </c>
      <c r="B126" t="s">
        <v>5</v>
      </c>
      <c r="C126" s="4">
        <v>29.246770000000001</v>
      </c>
      <c r="D126" s="8">
        <f>LOOKUP(EOMONTH(A126,0),Target_Prices!A$2:A$38,Target_Prices!C$2:C$38)</f>
        <v>28.053000000000001</v>
      </c>
      <c r="E126">
        <f t="shared" si="4"/>
        <v>2.8618373919769846E-2</v>
      </c>
      <c r="F126">
        <f t="shared" si="2"/>
        <v>-4.0817156903138384E-2</v>
      </c>
    </row>
    <row r="127" spans="1:6" x14ac:dyDescent="0.35">
      <c r="A127" s="16">
        <v>43220</v>
      </c>
      <c r="B127" t="s">
        <v>5</v>
      </c>
      <c r="C127" s="3">
        <v>30.369126999999999</v>
      </c>
      <c r="D127" s="8">
        <f>LOOKUP(EOMONTH(A127,0),Target_Prices!A$2:A$38,Target_Prices!C$2:C$38)</f>
        <v>28.053000000000001</v>
      </c>
      <c r="E127">
        <f t="shared" si="4"/>
        <v>3.8375417182820337E-2</v>
      </c>
      <c r="F127">
        <f t="shared" si="2"/>
        <v>-7.6265840634799881E-2</v>
      </c>
    </row>
    <row r="128" spans="1:6" x14ac:dyDescent="0.35">
      <c r="A128" s="15">
        <v>43251</v>
      </c>
      <c r="B128" t="s">
        <v>5</v>
      </c>
      <c r="C128" s="4">
        <v>28.486927000000001</v>
      </c>
      <c r="D128" s="8">
        <f>LOOKUP(EOMONTH(A128,0),Target_Prices!A$2:A$38,Target_Prices!C$2:C$38)</f>
        <v>28.053000000000001</v>
      </c>
      <c r="E128">
        <f t="shared" si="4"/>
        <v>-6.1977415419284143E-2</v>
      </c>
      <c r="F128">
        <f t="shared" si="2"/>
        <v>-1.5232495944543284E-2</v>
      </c>
    </row>
    <row r="129" spans="1:6" x14ac:dyDescent="0.35">
      <c r="A129" s="16">
        <v>43280</v>
      </c>
      <c r="B129" t="s">
        <v>5</v>
      </c>
      <c r="C129" s="3">
        <v>28.794422000000001</v>
      </c>
      <c r="D129" s="8">
        <f>LOOKUP(EOMONTH(A129,0),Target_Prices!A$2:A$38,Target_Prices!C$2:C$38)</f>
        <v>30.346900000000002</v>
      </c>
      <c r="E129">
        <f t="shared" si="4"/>
        <v>1.0794249586836724E-2</v>
      </c>
      <c r="F129">
        <f t="shared" si="2"/>
        <v>5.3915928578111436E-2</v>
      </c>
    </row>
    <row r="130" spans="1:6" x14ac:dyDescent="0.35">
      <c r="A130" s="15">
        <v>43312</v>
      </c>
      <c r="B130" t="s">
        <v>5</v>
      </c>
      <c r="C130" s="4">
        <v>29.319430000000001</v>
      </c>
      <c r="D130" s="8">
        <f>LOOKUP(EOMONTH(A130,0),Target_Prices!A$2:A$38,Target_Prices!C$2:C$38)</f>
        <v>30.346900000000002</v>
      </c>
      <c r="E130">
        <f t="shared" si="4"/>
        <v>1.8232975817330077E-2</v>
      </c>
      <c r="F130">
        <f t="shared" si="2"/>
        <v>3.5043996421485715E-2</v>
      </c>
    </row>
    <row r="131" spans="1:6" x14ac:dyDescent="0.35">
      <c r="A131" s="16">
        <v>43343</v>
      </c>
      <c r="B131" t="s">
        <v>5</v>
      </c>
      <c r="C131" s="3">
        <v>30.267990000000001</v>
      </c>
      <c r="D131" s="8">
        <f>LOOKUP(EOMONTH(A131,0),Target_Prices!A$2:A$38,Target_Prices!C$2:C$38)</f>
        <v>30.346900000000002</v>
      </c>
      <c r="E131">
        <f t="shared" si="4"/>
        <v>3.2352607127764887E-2</v>
      </c>
      <c r="F131">
        <f t="shared" ref="F131:F194" si="5">(D131-C131)/C131</f>
        <v>2.6070446038868283E-3</v>
      </c>
    </row>
    <row r="132" spans="1:6" x14ac:dyDescent="0.35">
      <c r="A132" s="15">
        <v>43371</v>
      </c>
      <c r="B132" t="s">
        <v>5</v>
      </c>
      <c r="C132" s="4">
        <v>32.518208000000001</v>
      </c>
      <c r="D132" s="8">
        <f>LOOKUP(EOMONTH(A132,0),Target_Prices!A$2:A$38,Target_Prices!C$2:C$38)</f>
        <v>31.5502</v>
      </c>
      <c r="E132">
        <f t="shared" si="4"/>
        <v>7.4343159225306987E-2</v>
      </c>
      <c r="F132">
        <f t="shared" si="5"/>
        <v>-2.976818402785298E-2</v>
      </c>
    </row>
    <row r="133" spans="1:6" x14ac:dyDescent="0.35">
      <c r="A133" s="16">
        <v>43404</v>
      </c>
      <c r="B133" t="s">
        <v>5</v>
      </c>
      <c r="C133" s="3">
        <v>31.176670000000001</v>
      </c>
      <c r="D133" s="8">
        <f>LOOKUP(EOMONTH(A133,0),Target_Prices!A$2:A$38,Target_Prices!C$2:C$38)</f>
        <v>31.5502</v>
      </c>
      <c r="E133">
        <f t="shared" si="4"/>
        <v>-4.1254979364176547E-2</v>
      </c>
      <c r="F133">
        <f t="shared" si="5"/>
        <v>1.1981074309732206E-2</v>
      </c>
    </row>
    <row r="134" spans="1:6" x14ac:dyDescent="0.35">
      <c r="A134" s="15">
        <v>43434</v>
      </c>
      <c r="B134" t="s">
        <v>5</v>
      </c>
      <c r="C134" s="4">
        <v>31.941502</v>
      </c>
      <c r="D134" s="8">
        <f>LOOKUP(EOMONTH(A134,0),Target_Prices!A$2:A$38,Target_Prices!C$2:C$38)</f>
        <v>31.5502</v>
      </c>
      <c r="E134">
        <f t="shared" si="4"/>
        <v>2.4532190256367992E-2</v>
      </c>
      <c r="F134">
        <f t="shared" si="5"/>
        <v>-1.2250582330160917E-2</v>
      </c>
    </row>
    <row r="135" spans="1:6" x14ac:dyDescent="0.35">
      <c r="A135" s="16">
        <v>43465</v>
      </c>
      <c r="B135" t="s">
        <v>5</v>
      </c>
      <c r="C135" s="3">
        <v>32.429226</v>
      </c>
      <c r="D135" s="8">
        <f>LOOKUP(EOMONTH(A135,0),Target_Prices!A$2:A$38,Target_Prices!C$2:C$38)</f>
        <v>34.8581</v>
      </c>
      <c r="E135">
        <f t="shared" si="4"/>
        <v>1.5269288213184184E-2</v>
      </c>
      <c r="F135">
        <f t="shared" si="5"/>
        <v>7.4897686426435225E-2</v>
      </c>
    </row>
    <row r="136" spans="1:6" x14ac:dyDescent="0.35">
      <c r="A136" s="15">
        <v>43496</v>
      </c>
      <c r="B136" t="s">
        <v>5</v>
      </c>
      <c r="C136" s="4">
        <v>34.912765999999998</v>
      </c>
      <c r="D136" s="8">
        <f>LOOKUP(EOMONTH(A136,0),Target_Prices!A$2:A$38,Target_Prices!C$2:C$38)</f>
        <v>34.8581</v>
      </c>
      <c r="E136">
        <f t="shared" si="4"/>
        <v>7.658338808332954E-2</v>
      </c>
      <c r="F136">
        <f t="shared" si="5"/>
        <v>-1.5657882850071932E-3</v>
      </c>
    </row>
    <row r="137" spans="1:6" x14ac:dyDescent="0.35">
      <c r="A137" s="16">
        <v>43524</v>
      </c>
      <c r="B137" t="s">
        <v>5</v>
      </c>
      <c r="C137" s="3">
        <v>35.458725000000001</v>
      </c>
      <c r="D137" s="8">
        <f>LOOKUP(EOMONTH(A137,0),Target_Prices!A$2:A$38,Target_Prices!C$2:C$38)</f>
        <v>34.8581</v>
      </c>
      <c r="E137">
        <f t="shared" si="4"/>
        <v>1.5637804234703179E-2</v>
      </c>
      <c r="F137">
        <f t="shared" si="5"/>
        <v>-1.6938708315090315E-2</v>
      </c>
    </row>
    <row r="138" spans="1:6" x14ac:dyDescent="0.35">
      <c r="A138" s="15">
        <v>43553</v>
      </c>
      <c r="B138" t="s">
        <v>5</v>
      </c>
      <c r="C138" s="4">
        <v>37.552525000000003</v>
      </c>
      <c r="D138" s="8">
        <f>LOOKUP(EOMONTH(A138,0),Target_Prices!A$2:A$38,Target_Prices!C$2:C$38)</f>
        <v>37.278100000000002</v>
      </c>
      <c r="E138">
        <f t="shared" si="4"/>
        <v>5.9048936474732194E-2</v>
      </c>
      <c r="F138">
        <f t="shared" si="5"/>
        <v>-7.3077642581957083E-3</v>
      </c>
    </row>
    <row r="139" spans="1:6" x14ac:dyDescent="0.35">
      <c r="A139" s="16">
        <v>43585</v>
      </c>
      <c r="B139" t="s">
        <v>5</v>
      </c>
      <c r="C139" s="3">
        <v>37.938274</v>
      </c>
      <c r="D139" s="8">
        <f>LOOKUP(EOMONTH(A139,0),Target_Prices!A$2:A$38,Target_Prices!C$2:C$38)</f>
        <v>37.278100000000002</v>
      </c>
      <c r="E139">
        <f t="shared" si="4"/>
        <v>1.0272251999033255E-2</v>
      </c>
      <c r="F139">
        <f t="shared" si="5"/>
        <v>-1.7401266067085652E-2</v>
      </c>
    </row>
    <row r="140" spans="1:6" x14ac:dyDescent="0.35">
      <c r="A140" s="15">
        <v>43616</v>
      </c>
      <c r="B140" t="s">
        <v>5</v>
      </c>
      <c r="C140" s="4">
        <v>39.646576000000003</v>
      </c>
      <c r="D140" s="8">
        <f>LOOKUP(EOMONTH(A140,0),Target_Prices!A$2:A$38,Target_Prices!C$2:C$38)</f>
        <v>37.278100000000002</v>
      </c>
      <c r="E140">
        <f t="shared" si="4"/>
        <v>4.5028458595665288E-2</v>
      </c>
      <c r="F140">
        <f t="shared" si="5"/>
        <v>-5.9739736415069009E-2</v>
      </c>
    </row>
    <row r="141" spans="1:6" x14ac:dyDescent="0.35">
      <c r="A141" s="16">
        <v>43644</v>
      </c>
      <c r="B141" t="s">
        <v>5</v>
      </c>
      <c r="C141" s="3">
        <v>42.267620000000001</v>
      </c>
      <c r="D141" s="8">
        <f>LOOKUP(EOMONTH(A141,0),Target_Prices!A$2:A$38,Target_Prices!C$2:C$38)</f>
        <v>39.711599999999997</v>
      </c>
      <c r="E141">
        <f t="shared" si="4"/>
        <v>6.611022349067408E-2</v>
      </c>
      <c r="F141">
        <f t="shared" si="5"/>
        <v>-6.0472295340972683E-2</v>
      </c>
    </row>
    <row r="142" spans="1:6" x14ac:dyDescent="0.35">
      <c r="A142" s="15">
        <v>43677</v>
      </c>
      <c r="B142" t="s">
        <v>5</v>
      </c>
      <c r="C142" s="4">
        <v>45.865290000000002</v>
      </c>
      <c r="D142" s="8">
        <f>LOOKUP(EOMONTH(A142,0),Target_Prices!A$2:A$38,Target_Prices!C$2:C$38)</f>
        <v>39.711599999999997</v>
      </c>
      <c r="E142">
        <f t="shared" si="4"/>
        <v>8.5116455575213301E-2</v>
      </c>
      <c r="F142">
        <f t="shared" si="5"/>
        <v>-0.13416877992050208</v>
      </c>
    </row>
    <row r="143" spans="1:6" x14ac:dyDescent="0.35">
      <c r="A143" s="16">
        <v>43707</v>
      </c>
      <c r="B143" t="s">
        <v>5</v>
      </c>
      <c r="C143" s="3">
        <v>48.288882999999998</v>
      </c>
      <c r="D143" s="8">
        <f>LOOKUP(EOMONTH(A143,0),Target_Prices!A$2:A$38,Target_Prices!C$2:C$38)</f>
        <v>39.711599999999997</v>
      </c>
      <c r="E143">
        <f t="shared" si="4"/>
        <v>5.2841549677326682E-2</v>
      </c>
      <c r="F143">
        <f t="shared" si="5"/>
        <v>-0.17762438199284919</v>
      </c>
    </row>
    <row r="144" spans="1:6" x14ac:dyDescent="0.35">
      <c r="A144" s="15">
        <v>43738</v>
      </c>
      <c r="B144" t="s">
        <v>5</v>
      </c>
      <c r="C144" s="4">
        <v>47.389389999999999</v>
      </c>
      <c r="D144" s="8">
        <f>LOOKUP(EOMONTH(A144,0),Target_Prices!A$2:A$38,Target_Prices!C$2:C$38)</f>
        <v>47.514899999999997</v>
      </c>
      <c r="E144">
        <f t="shared" si="4"/>
        <v>-1.8627330849628421E-2</v>
      </c>
      <c r="F144">
        <f t="shared" si="5"/>
        <v>2.6484831309286417E-3</v>
      </c>
    </row>
    <row r="145" spans="1:6" x14ac:dyDescent="0.35">
      <c r="A145" s="16">
        <v>43769</v>
      </c>
      <c r="B145" t="s">
        <v>5</v>
      </c>
      <c r="C145" s="3">
        <v>43.720350000000003</v>
      </c>
      <c r="D145" s="8">
        <f>LOOKUP(EOMONTH(A145,0),Target_Prices!A$2:A$38,Target_Prices!C$2:C$38)</f>
        <v>47.514899999999997</v>
      </c>
      <c r="E145">
        <f t="shared" si="4"/>
        <v>-7.742323756435765E-2</v>
      </c>
      <c r="F145">
        <f t="shared" si="5"/>
        <v>8.6791391194260645E-2</v>
      </c>
    </row>
    <row r="146" spans="1:6" x14ac:dyDescent="0.35">
      <c r="A146" s="15">
        <v>43798</v>
      </c>
      <c r="B146" t="s">
        <v>5</v>
      </c>
      <c r="C146" s="4">
        <v>46.492435</v>
      </c>
      <c r="D146" s="8">
        <f>LOOKUP(EOMONTH(A146,0),Target_Prices!A$2:A$38,Target_Prices!C$2:C$38)</f>
        <v>47.514899999999997</v>
      </c>
      <c r="E146">
        <f t="shared" si="4"/>
        <v>6.3404913272652186E-2</v>
      </c>
      <c r="F146">
        <f t="shared" si="5"/>
        <v>2.1992072473726035E-2</v>
      </c>
    </row>
    <row r="147" spans="1:6" x14ac:dyDescent="0.35">
      <c r="A147" s="16">
        <v>43830</v>
      </c>
      <c r="B147" t="s">
        <v>5</v>
      </c>
      <c r="C147" s="3">
        <v>51.260483000000001</v>
      </c>
      <c r="D147" s="8">
        <f>LOOKUP(EOMONTH(A147,0),Target_Prices!A$2:A$38,Target_Prices!C$2:C$38)</f>
        <v>47.61</v>
      </c>
      <c r="E147">
        <f t="shared" si="4"/>
        <v>0.10255535120928805</v>
      </c>
      <c r="F147">
        <f t="shared" si="5"/>
        <v>-7.1214369946533698E-2</v>
      </c>
    </row>
    <row r="148" spans="1:6" x14ac:dyDescent="0.35">
      <c r="A148" s="15">
        <v>43861</v>
      </c>
      <c r="B148" t="s">
        <v>5</v>
      </c>
      <c r="C148" s="4">
        <v>54.739809999999999</v>
      </c>
      <c r="D148" s="8">
        <f>LOOKUP(EOMONTH(A148,0),Target_Prices!A$2:A$38,Target_Prices!C$2:C$38)</f>
        <v>47.61</v>
      </c>
      <c r="E148">
        <f t="shared" si="4"/>
        <v>6.7875423647490774E-2</v>
      </c>
      <c r="F148">
        <f t="shared" si="5"/>
        <v>-0.13024908197525711</v>
      </c>
    </row>
    <row r="149" spans="1:6" x14ac:dyDescent="0.35">
      <c r="A149" s="16">
        <v>43889</v>
      </c>
      <c r="B149" t="s">
        <v>5</v>
      </c>
      <c r="C149" s="3">
        <v>51.720610000000001</v>
      </c>
      <c r="D149" s="8">
        <f>LOOKUP(EOMONTH(A149,0),Target_Prices!A$2:A$38,Target_Prices!C$2:C$38)</f>
        <v>47.61</v>
      </c>
      <c r="E149">
        <f t="shared" si="4"/>
        <v>-5.5155470945185914E-2</v>
      </c>
      <c r="F149">
        <f t="shared" si="5"/>
        <v>-7.9477214209190516E-2</v>
      </c>
    </row>
    <row r="150" spans="1:6" x14ac:dyDescent="0.35">
      <c r="A150" s="15">
        <v>43921</v>
      </c>
      <c r="B150" t="s">
        <v>5</v>
      </c>
      <c r="C150" s="4">
        <v>49.635080000000002</v>
      </c>
      <c r="D150" s="8">
        <f>LOOKUP(EOMONTH(A150,0),Target_Prices!A$2:A$38,Target_Prices!C$2:C$38)</f>
        <v>52.072600000000001</v>
      </c>
      <c r="E150">
        <f t="shared" si="4"/>
        <v>-4.0322996963879532E-2</v>
      </c>
      <c r="F150">
        <f t="shared" si="5"/>
        <v>4.9108815781096736E-2</v>
      </c>
    </row>
    <row r="151" spans="1:6" x14ac:dyDescent="0.35">
      <c r="A151" s="16">
        <v>43951</v>
      </c>
      <c r="B151" t="s">
        <v>5</v>
      </c>
      <c r="C151" s="3">
        <v>51.290688000000003</v>
      </c>
      <c r="D151" s="8">
        <f>LOOKUP(EOMONTH(A151,0),Target_Prices!A$2:A$38,Target_Prices!C$2:C$38)</f>
        <v>52.072600000000001</v>
      </c>
      <c r="E151">
        <f t="shared" si="4"/>
        <v>3.3355602529501427E-2</v>
      </c>
      <c r="F151">
        <f t="shared" si="5"/>
        <v>1.5244716545818188E-2</v>
      </c>
    </row>
    <row r="152" spans="1:6" x14ac:dyDescent="0.35">
      <c r="A152" s="15">
        <v>43980</v>
      </c>
      <c r="B152" t="s">
        <v>5</v>
      </c>
      <c r="C152" s="4">
        <v>58.670802999999999</v>
      </c>
      <c r="D152" s="8">
        <f>LOOKUP(EOMONTH(A152,0),Target_Prices!A$2:A$38,Target_Prices!C$2:C$38)</f>
        <v>52.072600000000001</v>
      </c>
      <c r="E152">
        <f t="shared" si="4"/>
        <v>0.1438880094569992</v>
      </c>
      <c r="F152">
        <f t="shared" si="5"/>
        <v>-0.11246144014766592</v>
      </c>
    </row>
    <row r="153" spans="1:6" x14ac:dyDescent="0.35">
      <c r="A153" s="16">
        <v>44012</v>
      </c>
      <c r="B153" t="s">
        <v>5</v>
      </c>
      <c r="C153" s="3">
        <v>57.077755000000003</v>
      </c>
      <c r="D153" s="8">
        <f>LOOKUP(EOMONTH(A153,0),Target_Prices!A$2:A$38,Target_Prices!C$2:C$38)</f>
        <v>54.854700000000001</v>
      </c>
      <c r="E153">
        <f t="shared" si="4"/>
        <v>-2.7152312880394658E-2</v>
      </c>
      <c r="F153">
        <f t="shared" si="5"/>
        <v>-3.8947835281888749E-2</v>
      </c>
    </row>
    <row r="154" spans="1:6" x14ac:dyDescent="0.35">
      <c r="A154" s="15">
        <v>44043</v>
      </c>
      <c r="B154" t="s">
        <v>5</v>
      </c>
      <c r="C154" s="4">
        <v>67.235016000000002</v>
      </c>
      <c r="D154" s="8">
        <f>LOOKUP(EOMONTH(A154,0),Target_Prices!A$2:A$38,Target_Prices!C$2:C$38)</f>
        <v>54.854700000000001</v>
      </c>
      <c r="E154">
        <f t="shared" si="4"/>
        <v>0.17795480918967455</v>
      </c>
      <c r="F154">
        <f t="shared" si="5"/>
        <v>-0.18413494539809436</v>
      </c>
    </row>
    <row r="155" spans="1:6" x14ac:dyDescent="0.35">
      <c r="A155" s="16">
        <v>44074</v>
      </c>
      <c r="B155" t="s">
        <v>5</v>
      </c>
      <c r="C155" s="3">
        <v>65.895424000000006</v>
      </c>
      <c r="D155" s="8">
        <f>LOOKUP(EOMONTH(A155,0),Target_Prices!A$2:A$38,Target_Prices!C$2:C$38)</f>
        <v>54.854700000000001</v>
      </c>
      <c r="E155">
        <f t="shared" si="4"/>
        <v>-1.9924022922817475E-2</v>
      </c>
      <c r="F155">
        <f t="shared" si="5"/>
        <v>-0.16754917610060455</v>
      </c>
    </row>
    <row r="156" spans="1:6" x14ac:dyDescent="0.35">
      <c r="A156" s="15">
        <v>44104</v>
      </c>
      <c r="B156" t="s">
        <v>5</v>
      </c>
      <c r="C156" s="4">
        <v>65.363845999999995</v>
      </c>
      <c r="D156" s="8">
        <f>LOOKUP(EOMONTH(A156,0),Target_Prices!A$2:A$38,Target_Prices!C$2:C$38)</f>
        <v>64.796400000000006</v>
      </c>
      <c r="E156">
        <f t="shared" si="4"/>
        <v>-8.066994151217699E-3</v>
      </c>
      <c r="F156">
        <f t="shared" si="5"/>
        <v>-8.6813435060107951E-3</v>
      </c>
    </row>
    <row r="157" spans="1:6" x14ac:dyDescent="0.35">
      <c r="A157" s="16">
        <v>44134</v>
      </c>
      <c r="B157" t="s">
        <v>5</v>
      </c>
      <c r="C157" s="3">
        <v>75.735929999999996</v>
      </c>
      <c r="D157" s="8">
        <f>LOOKUP(EOMONTH(A157,0),Target_Prices!A$2:A$38,Target_Prices!C$2:C$38)</f>
        <v>64.796400000000006</v>
      </c>
      <c r="E157">
        <f t="shared" si="4"/>
        <v>0.15868227827352754</v>
      </c>
      <c r="F157">
        <f t="shared" si="5"/>
        <v>-0.14444306685083277</v>
      </c>
    </row>
    <row r="158" spans="1:6" x14ac:dyDescent="0.35">
      <c r="A158" s="15">
        <v>44165</v>
      </c>
      <c r="B158" t="s">
        <v>5</v>
      </c>
      <c r="C158" s="4">
        <v>83.929940000000002</v>
      </c>
      <c r="D158" s="8">
        <f>LOOKUP(EOMONTH(A158,0),Target_Prices!A$2:A$38,Target_Prices!C$2:C$38)</f>
        <v>64.796400000000006</v>
      </c>
      <c r="E158">
        <f t="shared" si="4"/>
        <v>0.10819184500672274</v>
      </c>
      <c r="F158">
        <f t="shared" si="5"/>
        <v>-0.22797037624475838</v>
      </c>
    </row>
    <row r="159" spans="1:6" x14ac:dyDescent="0.35">
      <c r="A159" s="16">
        <v>44196</v>
      </c>
      <c r="B159" t="s">
        <v>5</v>
      </c>
      <c r="C159" s="3">
        <v>92.908550000000005</v>
      </c>
      <c r="D159" s="8">
        <f>LOOKUP(EOMONTH(A159,0),Target_Prices!A$2:A$38,Target_Prices!C$2:C$38)</f>
        <v>72.911600000000007</v>
      </c>
      <c r="E159">
        <f t="shared" si="4"/>
        <v>0.10697743856364017</v>
      </c>
      <c r="F159">
        <f t="shared" si="5"/>
        <v>-0.21523261314486122</v>
      </c>
    </row>
    <row r="160" spans="1:6" x14ac:dyDescent="0.35">
      <c r="A160" s="15">
        <v>44225</v>
      </c>
      <c r="B160" t="s">
        <v>5</v>
      </c>
      <c r="C160" s="4">
        <v>87.207989999999995</v>
      </c>
      <c r="D160" s="8">
        <f>LOOKUP(EOMONTH(A160,0),Target_Prices!A$2:A$38,Target_Prices!C$2:C$38)</f>
        <v>72.911600000000007</v>
      </c>
      <c r="E160">
        <f t="shared" si="4"/>
        <v>-6.1356678152871935E-2</v>
      </c>
      <c r="F160">
        <f t="shared" si="5"/>
        <v>-0.16393440555160127</v>
      </c>
    </row>
    <row r="161" spans="1:6" x14ac:dyDescent="0.35">
      <c r="A161" s="16">
        <v>44253</v>
      </c>
      <c r="B161" t="s">
        <v>5</v>
      </c>
      <c r="C161" s="3">
        <v>74.594710000000006</v>
      </c>
      <c r="D161" s="8">
        <f>LOOKUP(EOMONTH(A161,0),Target_Prices!A$2:A$38,Target_Prices!C$2:C$38)</f>
        <v>72.911600000000007</v>
      </c>
      <c r="E161">
        <f t="shared" si="4"/>
        <v>-0.14463445379259388</v>
      </c>
      <c r="F161">
        <f t="shared" si="5"/>
        <v>-2.2563396251557236E-2</v>
      </c>
    </row>
    <row r="162" spans="1:6" x14ac:dyDescent="0.35">
      <c r="A162" s="15">
        <v>44286</v>
      </c>
      <c r="B162" t="s">
        <v>5</v>
      </c>
      <c r="C162" s="4">
        <v>76.563095000000004</v>
      </c>
      <c r="D162" s="8">
        <f>LOOKUP(EOMONTH(A162,0),Target_Prices!A$2:A$38,Target_Prices!C$2:C$38)</f>
        <v>82.942599999999999</v>
      </c>
      <c r="E162">
        <f t="shared" si="4"/>
        <v>2.6387729103042323E-2</v>
      </c>
      <c r="F162">
        <f t="shared" si="5"/>
        <v>8.3323499396151551E-2</v>
      </c>
    </row>
    <row r="163" spans="1:6" x14ac:dyDescent="0.35">
      <c r="A163" s="16">
        <v>44316</v>
      </c>
      <c r="B163" t="s">
        <v>5</v>
      </c>
      <c r="C163" s="3">
        <v>67.43477</v>
      </c>
      <c r="D163" s="8">
        <f>LOOKUP(EOMONTH(A163,0),Target_Prices!A$2:A$38,Target_Prices!C$2:C$38)</f>
        <v>82.942599999999999</v>
      </c>
      <c r="E163">
        <f t="shared" si="4"/>
        <v>-0.11922617548310976</v>
      </c>
      <c r="F163">
        <f t="shared" si="5"/>
        <v>0.22996786375930398</v>
      </c>
    </row>
    <row r="164" spans="1:6" x14ac:dyDescent="0.35">
      <c r="A164" s="15">
        <v>44347</v>
      </c>
      <c r="B164" t="s">
        <v>5</v>
      </c>
      <c r="C164" s="4">
        <v>68.962100000000007</v>
      </c>
      <c r="D164" s="8">
        <f>LOOKUP(EOMONTH(A164,0),Target_Prices!A$2:A$38,Target_Prices!C$2:C$38)</f>
        <v>82.942599999999999</v>
      </c>
      <c r="E164">
        <f t="shared" si="4"/>
        <v>2.2648998432114542E-2</v>
      </c>
      <c r="F164">
        <f t="shared" si="5"/>
        <v>0.20272729513747392</v>
      </c>
    </row>
    <row r="165" spans="1:6" x14ac:dyDescent="0.35">
      <c r="A165" s="16">
        <v>44377</v>
      </c>
      <c r="B165" t="s">
        <v>5</v>
      </c>
      <c r="C165" s="3">
        <v>65.773094</v>
      </c>
      <c r="D165" s="8">
        <f>LOOKUP(EOMONTH(A165,0),Target_Prices!A$2:A$38,Target_Prices!C$2:C$38)</f>
        <v>74.253</v>
      </c>
      <c r="E165">
        <f t="shared" si="4"/>
        <v>-4.6242878334621595E-2</v>
      </c>
      <c r="F165">
        <f t="shared" si="5"/>
        <v>0.12892667022779861</v>
      </c>
    </row>
    <row r="166" spans="1:6" x14ac:dyDescent="0.35">
      <c r="A166" s="15">
        <v>44407</v>
      </c>
      <c r="B166" t="s">
        <v>5</v>
      </c>
      <c r="C166" s="4">
        <v>69.594620000000006</v>
      </c>
      <c r="D166" s="8">
        <f>LOOKUP(EOMONTH(A166,0),Target_Prices!A$2:A$38,Target_Prices!C$2:C$38)</f>
        <v>74.253</v>
      </c>
      <c r="E166">
        <f t="shared" si="4"/>
        <v>5.8101660840221392E-2</v>
      </c>
      <c r="F166">
        <f t="shared" si="5"/>
        <v>6.693592119620731E-2</v>
      </c>
    </row>
    <row r="167" spans="1:6" x14ac:dyDescent="0.35">
      <c r="A167" s="16">
        <v>44439</v>
      </c>
      <c r="B167" t="s">
        <v>5</v>
      </c>
      <c r="C167" s="3">
        <v>74.812740000000005</v>
      </c>
      <c r="D167" s="8">
        <f>LOOKUP(EOMONTH(A167,0),Target_Prices!A$2:A$38,Target_Prices!C$2:C$38)</f>
        <v>74.253</v>
      </c>
      <c r="E167">
        <f t="shared" si="4"/>
        <v>7.4978784279589483E-2</v>
      </c>
      <c r="F167">
        <f t="shared" si="5"/>
        <v>-7.4818807598813382E-3</v>
      </c>
    </row>
    <row r="168" spans="1:6" x14ac:dyDescent="0.35">
      <c r="A168" s="15">
        <v>44469</v>
      </c>
      <c r="B168" t="s">
        <v>5</v>
      </c>
      <c r="C168" s="4">
        <v>63.443752000000003</v>
      </c>
      <c r="D168" s="8">
        <f>LOOKUP(EOMONTH(A168,0),Target_Prices!A$2:A$38,Target_Prices!C$2:C$38)</f>
        <v>77.727999999999994</v>
      </c>
      <c r="E168">
        <f t="shared" si="4"/>
        <v>-0.15196593521370827</v>
      </c>
      <c r="F168">
        <f t="shared" si="5"/>
        <v>0.22514822263349099</v>
      </c>
    </row>
    <row r="169" spans="1:6" x14ac:dyDescent="0.35">
      <c r="A169" s="16">
        <v>44498</v>
      </c>
      <c r="B169" t="s">
        <v>5</v>
      </c>
      <c r="C169" s="3">
        <v>67.838849999999994</v>
      </c>
      <c r="D169" s="8">
        <f>LOOKUP(EOMONTH(A169,0),Target_Prices!A$2:A$38,Target_Prices!C$2:C$38)</f>
        <v>77.727999999999994</v>
      </c>
      <c r="E169">
        <f t="shared" si="4"/>
        <v>6.9275505647900415E-2</v>
      </c>
      <c r="F169">
        <f t="shared" si="5"/>
        <v>0.14577413974440903</v>
      </c>
    </row>
    <row r="170" spans="1:6" x14ac:dyDescent="0.35">
      <c r="A170" s="15">
        <v>44530</v>
      </c>
      <c r="B170" t="s">
        <v>5</v>
      </c>
      <c r="C170" s="4">
        <v>63.135689999999997</v>
      </c>
      <c r="D170" s="8">
        <f>LOOKUP(EOMONTH(A170,0),Target_Prices!A$2:A$38,Target_Prices!C$2:C$38)</f>
        <v>77.727999999999994</v>
      </c>
      <c r="E170">
        <f t="shared" si="4"/>
        <v>-6.9328415797142773E-2</v>
      </c>
      <c r="F170">
        <f t="shared" si="5"/>
        <v>0.23112616651532594</v>
      </c>
    </row>
    <row r="171" spans="1:6" x14ac:dyDescent="0.35">
      <c r="A171" s="16">
        <v>44561</v>
      </c>
      <c r="B171" t="s">
        <v>5</v>
      </c>
      <c r="C171" s="3">
        <v>62.424114000000003</v>
      </c>
      <c r="D171" s="8">
        <f>LOOKUP(EOMONTH(A171,0),Target_Prices!A$2:A$38,Target_Prices!C$2:C$38)</f>
        <v>73.518500000000003</v>
      </c>
      <c r="E171">
        <f t="shared" si="4"/>
        <v>-1.1270582455026545E-2</v>
      </c>
      <c r="F171">
        <f t="shared" si="5"/>
        <v>0.17772596660322643</v>
      </c>
    </row>
    <row r="172" spans="1:6" x14ac:dyDescent="0.35">
      <c r="A172" s="15">
        <v>44592</v>
      </c>
      <c r="B172" t="s">
        <v>5</v>
      </c>
      <c r="C172" s="4">
        <v>52.215496000000002</v>
      </c>
      <c r="D172" s="8">
        <f>LOOKUP(EOMONTH(A172,0),Target_Prices!A$2:A$38,Target_Prices!C$2:C$38)</f>
        <v>73.518500000000003</v>
      </c>
      <c r="E172">
        <f t="shared" si="4"/>
        <v>-0.16353645003275497</v>
      </c>
      <c r="F172">
        <f t="shared" si="5"/>
        <v>0.40798241196444829</v>
      </c>
    </row>
    <row r="173" spans="1:6" x14ac:dyDescent="0.35">
      <c r="A173" s="16">
        <v>44620</v>
      </c>
      <c r="B173" t="s">
        <v>5</v>
      </c>
      <c r="C173" s="3">
        <v>64.348879999999994</v>
      </c>
      <c r="D173" s="8">
        <f>LOOKUP(EOMONTH(A173,0),Target_Prices!A$2:A$38,Target_Prices!C$2:C$38)</f>
        <v>73.518500000000003</v>
      </c>
      <c r="E173">
        <f t="shared" si="4"/>
        <v>0.23237132517136283</v>
      </c>
      <c r="F173">
        <f t="shared" si="5"/>
        <v>0.14249851745671424</v>
      </c>
    </row>
    <row r="174" spans="1:6" x14ac:dyDescent="0.35">
      <c r="A174" s="15">
        <v>44651</v>
      </c>
      <c r="B174" t="s">
        <v>5</v>
      </c>
      <c r="C174" s="4">
        <v>63.452190000000002</v>
      </c>
      <c r="D174" s="8">
        <f>LOOKUP(EOMONTH(A174,0),Target_Prices!A$2:A$38,Target_Prices!C$2:C$38)</f>
        <v>67.590500000000006</v>
      </c>
      <c r="E174">
        <f t="shared" si="4"/>
        <v>-1.3934819067557891E-2</v>
      </c>
      <c r="F174">
        <f t="shared" si="5"/>
        <v>6.521934073512678E-2</v>
      </c>
    </row>
    <row r="175" spans="1:6" x14ac:dyDescent="0.35">
      <c r="A175" s="16">
        <v>44680</v>
      </c>
      <c r="B175" t="s">
        <v>5</v>
      </c>
      <c r="C175" s="3">
        <v>59.242947000000001</v>
      </c>
      <c r="D175" s="8">
        <f>LOOKUP(EOMONTH(A175,0),Target_Prices!A$2:A$38,Target_Prices!C$2:C$38)</f>
        <v>67.590500000000006</v>
      </c>
      <c r="E175">
        <f t="shared" si="4"/>
        <v>-6.6337237532699822E-2</v>
      </c>
      <c r="F175">
        <f t="shared" si="5"/>
        <v>0.14090374336037004</v>
      </c>
    </row>
    <row r="176" spans="1:6" x14ac:dyDescent="0.35">
      <c r="A176" s="15">
        <v>44712</v>
      </c>
      <c r="B176" t="s">
        <v>5</v>
      </c>
      <c r="C176" s="4">
        <v>58.584964999999997</v>
      </c>
      <c r="D176" s="8">
        <f>LOOKUP(EOMONTH(A176,0),Target_Prices!A$2:A$38,Target_Prices!C$2:C$38)</f>
        <v>67.590500000000006</v>
      </c>
      <c r="E176">
        <f t="shared" si="4"/>
        <v>-1.1106503530285305E-2</v>
      </c>
      <c r="F176">
        <f t="shared" si="5"/>
        <v>0.15371751096889807</v>
      </c>
    </row>
    <row r="177" spans="1:6" x14ac:dyDescent="0.35">
      <c r="A177" s="16">
        <v>44742</v>
      </c>
      <c r="B177" t="s">
        <v>5</v>
      </c>
      <c r="C177" s="3">
        <v>55.448174000000002</v>
      </c>
      <c r="D177" s="8">
        <f>LOOKUP(EOMONTH(A177,0),Target_Prices!A$2:A$38,Target_Prices!C$2:C$38)</f>
        <v>66.465999999999994</v>
      </c>
      <c r="E177">
        <f t="shared" si="4"/>
        <v>-5.3542594076824934E-2</v>
      </c>
      <c r="F177">
        <f t="shared" si="5"/>
        <v>0.19870493841690787</v>
      </c>
    </row>
    <row r="178" spans="1:6" x14ac:dyDescent="0.35">
      <c r="A178" s="15">
        <v>44771</v>
      </c>
      <c r="B178" t="s">
        <v>5</v>
      </c>
      <c r="C178" s="4">
        <v>63.124836000000002</v>
      </c>
      <c r="D178" s="8">
        <f>LOOKUP(EOMONTH(A178,0),Target_Prices!A$2:A$38,Target_Prices!C$2:C$38)</f>
        <v>66.465999999999994</v>
      </c>
      <c r="E178">
        <f t="shared" ref="E178:E221" si="6">(C178/C177)-1</f>
        <v>0.13844751677485356</v>
      </c>
      <c r="F178">
        <f t="shared" si="5"/>
        <v>5.2929468204875686E-2</v>
      </c>
    </row>
    <row r="179" spans="1:6" x14ac:dyDescent="0.35">
      <c r="A179" s="16">
        <v>44804</v>
      </c>
      <c r="B179" t="s">
        <v>5</v>
      </c>
      <c r="C179" s="3">
        <v>54.322006000000002</v>
      </c>
      <c r="D179" s="8">
        <f>LOOKUP(EOMONTH(A179,0),Target_Prices!A$2:A$38,Target_Prices!C$2:C$38)</f>
        <v>66.465999999999994</v>
      </c>
      <c r="E179">
        <f t="shared" si="6"/>
        <v>-0.13945113457403679</v>
      </c>
      <c r="F179">
        <f t="shared" si="5"/>
        <v>0.22355569858741947</v>
      </c>
    </row>
    <row r="180" spans="1:6" x14ac:dyDescent="0.35">
      <c r="A180" s="15">
        <v>44834</v>
      </c>
      <c r="B180" t="s">
        <v>5</v>
      </c>
      <c r="C180" s="4">
        <v>45.410736</v>
      </c>
      <c r="D180" s="8">
        <f>LOOKUP(EOMONTH(A180,0),Target_Prices!A$2:A$38,Target_Prices!C$2:C$38)</f>
        <v>66.845699999999994</v>
      </c>
      <c r="E180">
        <f t="shared" si="6"/>
        <v>-0.16404530421796282</v>
      </c>
      <c r="F180">
        <f t="shared" si="5"/>
        <v>0.47202414865066256</v>
      </c>
    </row>
    <row r="181" spans="1:6" x14ac:dyDescent="0.35">
      <c r="A181" s="16">
        <v>44865</v>
      </c>
      <c r="B181" t="s">
        <v>5</v>
      </c>
      <c r="C181" s="3">
        <v>46.39143</v>
      </c>
      <c r="D181" s="8">
        <f>LOOKUP(EOMONTH(A181,0),Target_Prices!A$2:A$38,Target_Prices!C$2:C$38)</f>
        <v>66.845699999999994</v>
      </c>
      <c r="E181">
        <f t="shared" si="6"/>
        <v>2.1596082477060019E-2</v>
      </c>
      <c r="F181">
        <f t="shared" si="5"/>
        <v>0.44090621910124334</v>
      </c>
    </row>
    <row r="182" spans="1:6" x14ac:dyDescent="0.35">
      <c r="A182" s="15">
        <v>44895</v>
      </c>
      <c r="B182" t="s">
        <v>5</v>
      </c>
      <c r="C182" s="4">
        <v>46.367294000000001</v>
      </c>
      <c r="D182" s="8">
        <f>LOOKUP(EOMONTH(A182,0),Target_Prices!A$2:A$38,Target_Prices!C$2:C$38)</f>
        <v>66.845699999999994</v>
      </c>
      <c r="E182">
        <f t="shared" si="6"/>
        <v>-5.2026850648922984E-4</v>
      </c>
      <c r="F182">
        <f t="shared" si="5"/>
        <v>0.44165626745438263</v>
      </c>
    </row>
    <row r="183" spans="1:6" x14ac:dyDescent="0.35">
      <c r="A183" s="16">
        <v>44925</v>
      </c>
      <c r="B183" t="s">
        <v>5</v>
      </c>
      <c r="C183" s="3">
        <v>47.183495000000001</v>
      </c>
      <c r="D183" s="8">
        <f>LOOKUP(EOMONTH(A183,0),Target_Prices!A$2:A$38,Target_Prices!C$2:C$38)</f>
        <v>58.173299999999998</v>
      </c>
      <c r="E183">
        <f t="shared" si="6"/>
        <v>1.7602946594209357E-2</v>
      </c>
      <c r="F183">
        <f t="shared" si="5"/>
        <v>0.23291629837933789</v>
      </c>
    </row>
    <row r="184" spans="1:6" x14ac:dyDescent="0.35">
      <c r="A184" s="15">
        <v>44957</v>
      </c>
      <c r="B184" t="s">
        <v>5</v>
      </c>
      <c r="C184" s="4">
        <v>45.200885999999997</v>
      </c>
      <c r="D184" s="8">
        <f>LOOKUP(EOMONTH(A184,0),Target_Prices!A$2:A$38,Target_Prices!C$2:C$38)</f>
        <v>58.173299999999998</v>
      </c>
      <c r="E184">
        <f t="shared" si="6"/>
        <v>-4.2019121305024165E-2</v>
      </c>
      <c r="F184">
        <f t="shared" si="5"/>
        <v>0.28699468413074913</v>
      </c>
    </row>
    <row r="185" spans="1:6" x14ac:dyDescent="0.35">
      <c r="A185" s="16">
        <v>44985</v>
      </c>
      <c r="B185" t="s">
        <v>5</v>
      </c>
      <c r="C185" s="3">
        <v>45.94218</v>
      </c>
      <c r="D185" s="8">
        <f>LOOKUP(EOMONTH(A185,0),Target_Prices!A$2:A$38,Target_Prices!C$2:C$38)</f>
        <v>58.173299999999998</v>
      </c>
      <c r="E185">
        <f t="shared" si="6"/>
        <v>1.6399988265716869E-2</v>
      </c>
      <c r="F185">
        <f t="shared" si="5"/>
        <v>0.26622855075662488</v>
      </c>
    </row>
    <row r="186" spans="1:6" x14ac:dyDescent="0.35">
      <c r="A186" s="15">
        <v>45016</v>
      </c>
      <c r="B186" t="s">
        <v>5</v>
      </c>
      <c r="C186" s="4">
        <v>43.528163999999997</v>
      </c>
      <c r="D186" s="8">
        <f>LOOKUP(EOMONTH(A186,0),Target_Prices!A$2:A$38,Target_Prices!C$2:C$38)</f>
        <v>54.677500000000002</v>
      </c>
      <c r="E186">
        <f t="shared" si="6"/>
        <v>-5.2544655042490396E-2</v>
      </c>
      <c r="F186">
        <f t="shared" si="5"/>
        <v>0.25614073683420246</v>
      </c>
    </row>
    <row r="187" spans="1:6" x14ac:dyDescent="0.35">
      <c r="A187" s="16">
        <v>45044</v>
      </c>
      <c r="B187" t="s">
        <v>5</v>
      </c>
      <c r="C187" s="3">
        <v>45.234023999999998</v>
      </c>
      <c r="D187" s="8">
        <f>LOOKUP(EOMONTH(A187,0),Target_Prices!A$2:A$38,Target_Prices!C$2:C$38)</f>
        <v>54.677500000000002</v>
      </c>
      <c r="E187">
        <f t="shared" si="6"/>
        <v>3.9189799045969531E-2</v>
      </c>
      <c r="F187">
        <f t="shared" si="5"/>
        <v>0.20876931046417635</v>
      </c>
    </row>
    <row r="188" spans="1:6" x14ac:dyDescent="0.35">
      <c r="A188" s="15">
        <v>45077</v>
      </c>
      <c r="B188" t="s">
        <v>5</v>
      </c>
      <c r="C188" s="4">
        <v>45.527349999999998</v>
      </c>
      <c r="D188" s="8">
        <f>LOOKUP(EOMONTH(A188,0),Target_Prices!A$2:A$38,Target_Prices!C$2:C$38)</f>
        <v>54.677500000000002</v>
      </c>
      <c r="E188">
        <f t="shared" si="6"/>
        <v>6.4846320106299871E-3</v>
      </c>
      <c r="F188">
        <f t="shared" si="5"/>
        <v>0.20098138811066324</v>
      </c>
    </row>
    <row r="189" spans="1:6" x14ac:dyDescent="0.35">
      <c r="A189" s="16">
        <v>45107</v>
      </c>
      <c r="B189" t="s">
        <v>5</v>
      </c>
      <c r="C189" s="3">
        <v>48.131171999999999</v>
      </c>
      <c r="D189" s="8">
        <f>LOOKUP(EOMONTH(A189,0),Target_Prices!A$2:A$38,Target_Prices!C$2:C$38)</f>
        <v>55.322499999999998</v>
      </c>
      <c r="E189">
        <f t="shared" si="6"/>
        <v>5.7192478806695313E-2</v>
      </c>
      <c r="F189">
        <f t="shared" si="5"/>
        <v>0.1494110303401712</v>
      </c>
    </row>
    <row r="190" spans="1:6" x14ac:dyDescent="0.35">
      <c r="A190" s="15">
        <v>45138</v>
      </c>
      <c r="B190" t="s">
        <v>5</v>
      </c>
      <c r="C190" s="4">
        <v>44.091380000000001</v>
      </c>
      <c r="D190" s="8">
        <f>LOOKUP(EOMONTH(A190,0),Target_Prices!A$2:A$38,Target_Prices!C$2:C$38)</f>
        <v>55.322499999999998</v>
      </c>
      <c r="E190">
        <f t="shared" si="6"/>
        <v>-8.3932965521803626E-2</v>
      </c>
      <c r="F190">
        <f t="shared" si="5"/>
        <v>0.25472371243540115</v>
      </c>
    </row>
    <row r="191" spans="1:6" x14ac:dyDescent="0.35">
      <c r="A191" s="16">
        <v>45169</v>
      </c>
      <c r="B191" t="s">
        <v>5</v>
      </c>
      <c r="C191" s="3">
        <v>32.998856000000004</v>
      </c>
      <c r="D191" s="8">
        <f>LOOKUP(EOMONTH(A191,0),Target_Prices!A$2:A$38,Target_Prices!C$2:C$38)</f>
        <v>55.322499999999998</v>
      </c>
      <c r="E191">
        <f t="shared" si="6"/>
        <v>-0.25158033157501525</v>
      </c>
      <c r="F191">
        <f t="shared" si="5"/>
        <v>0.6764975125198277</v>
      </c>
    </row>
    <row r="192" spans="1:6" x14ac:dyDescent="0.35">
      <c r="A192" s="15">
        <v>45198</v>
      </c>
      <c r="B192" t="s">
        <v>5</v>
      </c>
      <c r="C192" s="4">
        <v>28.703137999999999</v>
      </c>
      <c r="D192" s="8">
        <f>LOOKUP(EOMONTH(A192,0),Target_Prices!A$2:A$38,Target_Prices!C$2:C$38)</f>
        <v>43.7744</v>
      </c>
      <c r="E192">
        <f t="shared" si="6"/>
        <v>-0.13017778555717219</v>
      </c>
      <c r="F192">
        <f t="shared" si="5"/>
        <v>0.52507366964545832</v>
      </c>
    </row>
    <row r="193" spans="1:6" x14ac:dyDescent="0.35">
      <c r="A193" s="16">
        <v>45230</v>
      </c>
      <c r="B193" t="s">
        <v>5</v>
      </c>
      <c r="C193" s="3">
        <v>25.303460999999999</v>
      </c>
      <c r="D193" s="8">
        <f>LOOKUP(EOMONTH(A193,0),Target_Prices!A$2:A$38,Target_Prices!C$2:C$38)</f>
        <v>43.7744</v>
      </c>
      <c r="E193">
        <f t="shared" si="6"/>
        <v>-0.11844269431446841</v>
      </c>
      <c r="F193">
        <f t="shared" si="5"/>
        <v>0.72997678064672666</v>
      </c>
    </row>
    <row r="194" spans="1:6" x14ac:dyDescent="0.35">
      <c r="A194" s="15">
        <v>45260</v>
      </c>
      <c r="B194" t="s">
        <v>5</v>
      </c>
      <c r="C194" s="4">
        <v>24.034153</v>
      </c>
      <c r="D194" s="8">
        <f>LOOKUP(EOMONTH(A194,0),Target_Prices!A$2:A$38,Target_Prices!C$2:C$38)</f>
        <v>43.7744</v>
      </c>
      <c r="E194">
        <f t="shared" si="6"/>
        <v>-5.0163414404061135E-2</v>
      </c>
      <c r="F194">
        <f t="shared" si="5"/>
        <v>0.82134148850596067</v>
      </c>
    </row>
    <row r="195" spans="1:6" x14ac:dyDescent="0.35">
      <c r="A195" s="16">
        <v>45289</v>
      </c>
      <c r="B195" t="s">
        <v>5</v>
      </c>
      <c r="C195" s="3">
        <v>27.907236000000001</v>
      </c>
      <c r="D195" s="8">
        <f>LOOKUP(EOMONTH(A195,0),Target_Prices!A$2:A$38,Target_Prices!C$2:C$38)</f>
        <v>32.262099999999997</v>
      </c>
      <c r="E195">
        <f t="shared" si="6"/>
        <v>0.16114913639769202</v>
      </c>
      <c r="F195">
        <f t="shared" ref="F195:F258" si="7">(D195-C195)/C195</f>
        <v>0.15604784364886568</v>
      </c>
    </row>
    <row r="196" spans="1:6" x14ac:dyDescent="0.35">
      <c r="A196" s="15">
        <v>45322</v>
      </c>
      <c r="B196" t="s">
        <v>5</v>
      </c>
      <c r="C196" s="4">
        <v>29.193301999999999</v>
      </c>
      <c r="D196" s="8">
        <f>LOOKUP(EOMONTH(A196,0),Target_Prices!A$2:A$38,Target_Prices!C$2:C$38)</f>
        <v>32.262099999999997</v>
      </c>
      <c r="E196">
        <f t="shared" si="6"/>
        <v>4.6083603549989638E-2</v>
      </c>
      <c r="F196">
        <f t="shared" si="7"/>
        <v>0.10511993470283004</v>
      </c>
    </row>
    <row r="197" spans="1:6" x14ac:dyDescent="0.35">
      <c r="A197" s="16">
        <v>45351</v>
      </c>
      <c r="B197" t="s">
        <v>5</v>
      </c>
      <c r="C197" s="3">
        <v>28.833276999999999</v>
      </c>
      <c r="D197" s="8">
        <f>LOOKUP(EOMONTH(A197,0),Target_Prices!A$2:A$38,Target_Prices!C$2:C$38)</f>
        <v>32.262099999999997</v>
      </c>
      <c r="E197">
        <f t="shared" si="6"/>
        <v>-1.2332452149469098E-2</v>
      </c>
      <c r="F197">
        <f t="shared" si="7"/>
        <v>0.11891894910176175</v>
      </c>
    </row>
    <row r="198" spans="1:6" x14ac:dyDescent="0.35">
      <c r="A198" s="15">
        <v>45380</v>
      </c>
      <c r="B198" t="s">
        <v>5</v>
      </c>
      <c r="C198" s="4">
        <v>28.644053</v>
      </c>
      <c r="D198" s="8">
        <f>LOOKUP(EOMONTH(A198,0),Target_Prices!A$2:A$38,Target_Prices!C$2:C$38)</f>
        <v>34.653199999999998</v>
      </c>
      <c r="E198">
        <f t="shared" si="6"/>
        <v>-6.5626949028374515E-3</v>
      </c>
      <c r="F198">
        <f t="shared" si="7"/>
        <v>0.2097868971266042</v>
      </c>
    </row>
    <row r="199" spans="1:6" x14ac:dyDescent="0.35">
      <c r="A199" s="16">
        <v>45412</v>
      </c>
      <c r="B199" t="s">
        <v>5</v>
      </c>
      <c r="C199" s="3">
        <v>28.742445</v>
      </c>
      <c r="D199" s="8">
        <f>LOOKUP(EOMONTH(A199,0),Target_Prices!A$2:A$38,Target_Prices!C$2:C$38)</f>
        <v>34.653199999999998</v>
      </c>
      <c r="E199">
        <f t="shared" si="6"/>
        <v>3.4349887566540449E-3</v>
      </c>
      <c r="F199">
        <f t="shared" si="7"/>
        <v>0.20564551832664194</v>
      </c>
    </row>
    <row r="200" spans="1:6" x14ac:dyDescent="0.35">
      <c r="A200" s="15">
        <v>45443</v>
      </c>
      <c r="B200" t="s">
        <v>5</v>
      </c>
      <c r="C200" s="4">
        <v>31.214676000000001</v>
      </c>
      <c r="D200" s="8">
        <f>LOOKUP(EOMONTH(A200,0),Target_Prices!A$2:A$38,Target_Prices!C$2:C$38)</f>
        <v>34.653199999999998</v>
      </c>
      <c r="E200">
        <f t="shared" si="6"/>
        <v>8.6013246263496379E-2</v>
      </c>
      <c r="F200">
        <f t="shared" si="7"/>
        <v>0.11015728627136791</v>
      </c>
    </row>
    <row r="201" spans="1:6" x14ac:dyDescent="0.35">
      <c r="A201" s="16">
        <v>45471</v>
      </c>
      <c r="B201" t="s">
        <v>5</v>
      </c>
      <c r="C201" s="3">
        <v>27.620676</v>
      </c>
      <c r="D201" s="8">
        <f>LOOKUP(EOMONTH(A201,0),Target_Prices!A$2:A$38,Target_Prices!C$2:C$38)</f>
        <v>34.219799999999999</v>
      </c>
      <c r="E201">
        <f t="shared" si="6"/>
        <v>-0.11513814847861947</v>
      </c>
      <c r="F201">
        <f t="shared" si="7"/>
        <v>0.2389197136232292</v>
      </c>
    </row>
    <row r="202" spans="1:6" x14ac:dyDescent="0.35">
      <c r="A202" s="15">
        <v>45504</v>
      </c>
      <c r="B202" t="s">
        <v>5</v>
      </c>
      <c r="C202" s="4">
        <v>30.568090000000002</v>
      </c>
      <c r="D202" s="8">
        <f>LOOKUP(EOMONTH(A202,0),Target_Prices!A$2:A$38,Target_Prices!C$2:C$38)</f>
        <v>34.219799999999999</v>
      </c>
      <c r="E202">
        <f t="shared" si="6"/>
        <v>0.1067104222937918</v>
      </c>
      <c r="F202">
        <f t="shared" si="7"/>
        <v>0.1194615038100188</v>
      </c>
    </row>
    <row r="203" spans="1:6" x14ac:dyDescent="0.35">
      <c r="A203" s="16">
        <v>45534</v>
      </c>
      <c r="B203" t="s">
        <v>5</v>
      </c>
      <c r="C203" s="3">
        <v>29.105394</v>
      </c>
      <c r="D203" s="8">
        <f>LOOKUP(EOMONTH(A203,0),Target_Prices!A$2:A$38,Target_Prices!C$2:C$38)</f>
        <v>34.219799999999999</v>
      </c>
      <c r="E203">
        <f t="shared" si="6"/>
        <v>-4.7850421796062581E-2</v>
      </c>
      <c r="F203">
        <f t="shared" si="7"/>
        <v>0.17572021186176001</v>
      </c>
    </row>
    <row r="204" spans="1:6" x14ac:dyDescent="0.35">
      <c r="A204" s="15">
        <v>45565</v>
      </c>
      <c r="B204" t="s">
        <v>5</v>
      </c>
      <c r="C204" s="4">
        <v>33.193027000000001</v>
      </c>
      <c r="D204" s="8">
        <f>LOOKUP(EOMONTH(A204,0),Target_Prices!A$2:A$38,Target_Prices!C$2:C$38)</f>
        <v>34.526699999999998</v>
      </c>
      <c r="E204">
        <f t="shared" si="6"/>
        <v>0.14044245544313894</v>
      </c>
      <c r="F204">
        <f t="shared" si="7"/>
        <v>4.0179312359791636E-2</v>
      </c>
    </row>
    <row r="205" spans="1:6" x14ac:dyDescent="0.35">
      <c r="A205" s="16">
        <v>45596</v>
      </c>
      <c r="B205" t="s">
        <v>5</v>
      </c>
      <c r="C205" s="3">
        <v>29.860374</v>
      </c>
      <c r="D205" s="8">
        <f>LOOKUP(EOMONTH(A205,0),Target_Prices!A$2:A$38,Target_Prices!C$2:C$38)</f>
        <v>34.526699999999998</v>
      </c>
      <c r="E205">
        <f t="shared" si="6"/>
        <v>-0.10040220194440241</v>
      </c>
      <c r="F205">
        <f t="shared" si="7"/>
        <v>0.15627151890327959</v>
      </c>
    </row>
    <row r="206" spans="1:6" x14ac:dyDescent="0.35">
      <c r="A206" s="15">
        <v>45625</v>
      </c>
      <c r="B206" t="s">
        <v>5</v>
      </c>
      <c r="C206" s="4">
        <v>29.199225999999999</v>
      </c>
      <c r="D206" s="8">
        <f>LOOKUP(EOMONTH(A206,0),Target_Prices!A$2:A$38,Target_Prices!C$2:C$38)</f>
        <v>34.526699999999998</v>
      </c>
      <c r="E206">
        <f t="shared" si="6"/>
        <v>-2.2141316783239273E-2</v>
      </c>
      <c r="F206">
        <f t="shared" si="7"/>
        <v>0.18245257596896572</v>
      </c>
    </row>
    <row r="207" spans="1:6" x14ac:dyDescent="0.35">
      <c r="A207" s="16">
        <v>45657</v>
      </c>
      <c r="B207" t="s">
        <v>5</v>
      </c>
      <c r="C207" s="3">
        <v>24.159634</v>
      </c>
      <c r="D207" s="8">
        <f>LOOKUP(EOMONTH(A207,0),Target_Prices!A$2:A$38,Target_Prices!C$2:C$38)</f>
        <v>33.456699999999998</v>
      </c>
      <c r="E207">
        <f t="shared" si="6"/>
        <v>-0.17259334202899757</v>
      </c>
      <c r="F207">
        <f t="shared" si="7"/>
        <v>0.38481816405000163</v>
      </c>
    </row>
    <row r="208" spans="1:6" x14ac:dyDescent="0.35">
      <c r="A208" s="15">
        <v>45688</v>
      </c>
      <c r="B208" t="s">
        <v>5</v>
      </c>
      <c r="C208" s="4">
        <v>20.713781000000001</v>
      </c>
      <c r="D208" s="8">
        <f>LOOKUP(EOMONTH(A208,0),Target_Prices!A$2:A$38,Target_Prices!C$2:C$38)</f>
        <v>33.456699999999998</v>
      </c>
      <c r="E208">
        <f t="shared" si="6"/>
        <v>-0.1426285265745334</v>
      </c>
      <c r="F208">
        <f t="shared" si="7"/>
        <v>0.6151903894320403</v>
      </c>
    </row>
    <row r="209" spans="1:6" x14ac:dyDescent="0.35">
      <c r="A209" s="16">
        <v>45716</v>
      </c>
      <c r="B209" t="s">
        <v>5</v>
      </c>
      <c r="C209" s="3">
        <v>23.490839000000001</v>
      </c>
      <c r="D209" s="8">
        <f>LOOKUP(EOMONTH(A209,0),Target_Prices!A$2:A$38,Target_Prices!C$2:C$38)</f>
        <v>33.456699999999998</v>
      </c>
      <c r="E209">
        <f t="shared" si="6"/>
        <v>0.13406813560498687</v>
      </c>
      <c r="F209">
        <f t="shared" si="7"/>
        <v>0.42424457466163706</v>
      </c>
    </row>
    <row r="210" spans="1:6" x14ac:dyDescent="0.35">
      <c r="A210" s="15">
        <v>45747</v>
      </c>
      <c r="B210" t="s">
        <v>5</v>
      </c>
      <c r="C210" s="4">
        <v>22.453693000000001</v>
      </c>
      <c r="D210" s="8">
        <f>LOOKUP(EOMONTH(A210,0),Target_Prices!A$2:A$38,Target_Prices!C$2:C$38)</f>
        <v>26.683399999999999</v>
      </c>
      <c r="E210">
        <f t="shared" si="6"/>
        <v>-4.4151083748009134E-2</v>
      </c>
      <c r="F210">
        <f t="shared" si="7"/>
        <v>0.18837466959221352</v>
      </c>
    </row>
    <row r="211" spans="1:6" x14ac:dyDescent="0.35">
      <c r="A211" s="16">
        <v>45777</v>
      </c>
      <c r="B211" t="s">
        <v>5</v>
      </c>
      <c r="C211" s="3">
        <v>19.496624000000001</v>
      </c>
      <c r="D211" s="8">
        <f>LOOKUP(EOMONTH(A211,0),Target_Prices!A$2:A$38,Target_Prices!C$2:C$38)</f>
        <v>26.683399999999999</v>
      </c>
      <c r="E211">
        <f t="shared" si="6"/>
        <v>-0.13169633164575645</v>
      </c>
      <c r="F211">
        <f t="shared" si="7"/>
        <v>0.36861643328609084</v>
      </c>
    </row>
    <row r="212" spans="1:6" x14ac:dyDescent="0.35">
      <c r="A212" s="15">
        <v>45807</v>
      </c>
      <c r="B212" t="s">
        <v>5</v>
      </c>
      <c r="C212" s="4">
        <v>19.992193</v>
      </c>
      <c r="D212" s="8">
        <f>LOOKUP(EOMONTH(A212,0),Target_Prices!A$2:A$38,Target_Prices!C$2:C$38)</f>
        <v>26.683399999999999</v>
      </c>
      <c r="E212">
        <f t="shared" si="6"/>
        <v>2.5418195478355665E-2</v>
      </c>
      <c r="F212">
        <f t="shared" si="7"/>
        <v>0.33469099663053464</v>
      </c>
    </row>
    <row r="213" spans="1:6" x14ac:dyDescent="0.35">
      <c r="A213" s="16">
        <v>45838</v>
      </c>
      <c r="B213" t="s">
        <v>5</v>
      </c>
      <c r="C213" s="3">
        <v>20.263076999999999</v>
      </c>
      <c r="D213" s="8">
        <f>LOOKUP(EOMONTH(A213,0),Target_Prices!A$2:A$38,Target_Prices!C$2:C$38)</f>
        <v>22.553699999999999</v>
      </c>
      <c r="E213">
        <f t="shared" si="6"/>
        <v>1.3549489043047869E-2</v>
      </c>
      <c r="F213">
        <f t="shared" si="7"/>
        <v>0.11304418376340376</v>
      </c>
    </row>
    <row r="214" spans="1:6" x14ac:dyDescent="0.35">
      <c r="A214" s="15">
        <v>45869</v>
      </c>
      <c r="B214" t="s">
        <v>5</v>
      </c>
      <c r="C214" s="4">
        <v>22.962568000000001</v>
      </c>
      <c r="D214" s="8">
        <f>LOOKUP(EOMONTH(A214,0),Target_Prices!A$2:A$38,Target_Prices!C$2:C$38)</f>
        <v>22.553699999999999</v>
      </c>
      <c r="E214">
        <f t="shared" si="6"/>
        <v>0.13322216561680156</v>
      </c>
      <c r="F214">
        <f t="shared" si="7"/>
        <v>-1.7805848196072921E-2</v>
      </c>
    </row>
    <row r="215" spans="1:6" x14ac:dyDescent="0.35">
      <c r="A215" s="16">
        <v>45898</v>
      </c>
      <c r="B215" t="s">
        <v>5</v>
      </c>
      <c r="C215" s="3">
        <v>14.381663</v>
      </c>
      <c r="D215" s="8">
        <f>LOOKUP(EOMONTH(A215,0),Target_Prices!A$2:A$38,Target_Prices!C$2:C$38)</f>
        <v>22.553699999999999</v>
      </c>
      <c r="E215">
        <f t="shared" si="6"/>
        <v>-0.37369100006584632</v>
      </c>
      <c r="F215">
        <f t="shared" si="7"/>
        <v>0.56822615020251832</v>
      </c>
    </row>
    <row r="216" spans="1:6" x14ac:dyDescent="0.35">
      <c r="A216" s="15">
        <v>45930</v>
      </c>
      <c r="B216" t="s">
        <v>5</v>
      </c>
      <c r="C216" s="4">
        <v>15.211923000000001</v>
      </c>
      <c r="D216" s="8">
        <f>LOOKUP(EOMONTH(A216,0),Target_Prices!A$2:A$38,Target_Prices!C$2:C$38)</f>
        <v>16.662700000000001</v>
      </c>
      <c r="E216">
        <f t="shared" si="6"/>
        <v>5.7730458570750987E-2</v>
      </c>
      <c r="F216">
        <f t="shared" si="7"/>
        <v>9.5371045462168083E-2</v>
      </c>
    </row>
    <row r="217" spans="1:6" x14ac:dyDescent="0.35">
      <c r="A217" s="16">
        <v>45961</v>
      </c>
      <c r="B217" t="s">
        <v>5</v>
      </c>
      <c r="C217" s="3">
        <v>15.507915499999999</v>
      </c>
      <c r="D217" s="8">
        <f>LOOKUP(EOMONTH(A217,0),Target_Prices!A$2:A$38,Target_Prices!C$2:C$38)</f>
        <v>16.662700000000001</v>
      </c>
      <c r="E217">
        <f t="shared" si="6"/>
        <v>1.9457927837262856E-2</v>
      </c>
      <c r="F217">
        <f t="shared" si="7"/>
        <v>7.4464198621665284E-2</v>
      </c>
    </row>
    <row r="218" spans="1:6" x14ac:dyDescent="0.35">
      <c r="A218" s="15">
        <v>45989</v>
      </c>
      <c r="B218" t="s">
        <v>5</v>
      </c>
      <c r="C218" s="4">
        <v>18.309698000000001</v>
      </c>
      <c r="D218" s="8">
        <f>LOOKUP(EOMONTH(A218,0),Target_Prices!A$2:A$38,Target_Prices!C$2:C$38)</f>
        <v>16.662700000000001</v>
      </c>
      <c r="E218">
        <f t="shared" si="6"/>
        <v>0.18066789827427177</v>
      </c>
      <c r="F218">
        <f t="shared" si="7"/>
        <v>-8.9952220948701603E-2</v>
      </c>
    </row>
    <row r="219" spans="1:6" x14ac:dyDescent="0.35">
      <c r="A219" s="16">
        <v>46022</v>
      </c>
      <c r="B219" t="s">
        <v>5</v>
      </c>
      <c r="C219" s="3">
        <v>16.383236</v>
      </c>
      <c r="D219" s="8">
        <f>LOOKUP(EOMONTH(A219,0),Target_Prices!A$2:A$38,Target_Prices!C$2:C$38)</f>
        <v>18.2971</v>
      </c>
      <c r="E219">
        <f t="shared" si="6"/>
        <v>-0.10521538913421735</v>
      </c>
      <c r="F219">
        <f t="shared" si="7"/>
        <v>0.11681843562529406</v>
      </c>
    </row>
    <row r="220" spans="1:6" x14ac:dyDescent="0.35">
      <c r="A220" s="15">
        <v>46052</v>
      </c>
      <c r="B220" t="s">
        <v>5</v>
      </c>
      <c r="C220" s="4">
        <v>18.961735000000001</v>
      </c>
      <c r="D220" s="8">
        <f>LOOKUP(EOMONTH(A220,0),Target_Prices!A$2:A$38,Target_Prices!C$2:C$38)</f>
        <v>18.2971</v>
      </c>
      <c r="E220">
        <f t="shared" si="6"/>
        <v>0.15738642841988004</v>
      </c>
      <c r="F220">
        <f t="shared" si="7"/>
        <v>-3.5051381110431115E-2</v>
      </c>
    </row>
    <row r="221" spans="1:6" s="11" customFormat="1" x14ac:dyDescent="0.35">
      <c r="A221" s="15">
        <v>46080</v>
      </c>
      <c r="B221" s="11" t="s">
        <v>5</v>
      </c>
      <c r="C221" s="3">
        <v>20.076370000000001</v>
      </c>
      <c r="D221" s="8">
        <f>LOOKUP(EOMONTH(A221,0),Target_Prices!A$2:A$38,Target_Prices!C$2:C$38)</f>
        <v>18.2971</v>
      </c>
      <c r="E221">
        <f t="shared" si="6"/>
        <v>5.8783386646844349E-2</v>
      </c>
      <c r="F221">
        <f t="shared" si="7"/>
        <v>-8.8625085112497948E-2</v>
      </c>
    </row>
    <row r="222" spans="1:6" x14ac:dyDescent="0.35">
      <c r="A222" s="15">
        <v>42766</v>
      </c>
      <c r="B222" t="s">
        <v>6</v>
      </c>
      <c r="C222" s="4">
        <v>14.79</v>
      </c>
      <c r="D222" s="8">
        <f>LOOKUP(EOMONTH(A222,0),Target_Prices!A$2:A$38,Target_Prices!D$2:D$38)</f>
        <v>13.6167</v>
      </c>
      <c r="F222">
        <f t="shared" si="7"/>
        <v>-7.9330628803245401E-2</v>
      </c>
    </row>
    <row r="223" spans="1:6" x14ac:dyDescent="0.35">
      <c r="A223" s="16">
        <v>42794</v>
      </c>
      <c r="B223" t="s">
        <v>6</v>
      </c>
      <c r="C223" s="3">
        <v>14.49</v>
      </c>
      <c r="D223" s="8">
        <f>LOOKUP(EOMONTH(A223,0),Target_Prices!A$2:A$38,Target_Prices!D$2:D$38)</f>
        <v>13.6167</v>
      </c>
      <c r="E223">
        <f>(C223/C222)-1</f>
        <v>-2.0283975659229125E-2</v>
      </c>
      <c r="F223">
        <f t="shared" si="7"/>
        <v>-6.0269151138716386E-2</v>
      </c>
    </row>
    <row r="224" spans="1:6" x14ac:dyDescent="0.35">
      <c r="A224" s="15">
        <v>42825</v>
      </c>
      <c r="B224" t="s">
        <v>6</v>
      </c>
      <c r="C224" s="4">
        <v>14.83</v>
      </c>
      <c r="D224" s="8">
        <f>LOOKUP(EOMONTH(A224,0),Target_Prices!A$2:A$38,Target_Prices!D$2:D$38)</f>
        <v>13.4034</v>
      </c>
      <c r="E224">
        <f t="shared" ref="E224:E287" si="8">(C224/C223)-1</f>
        <v>2.3464458247066888E-2</v>
      </c>
      <c r="F224">
        <f t="shared" si="7"/>
        <v>-9.6196898179366191E-2</v>
      </c>
    </row>
    <row r="225" spans="1:6" x14ac:dyDescent="0.35">
      <c r="A225" s="16">
        <v>42853</v>
      </c>
      <c r="B225" t="s">
        <v>6</v>
      </c>
      <c r="C225" s="3">
        <v>13.36</v>
      </c>
      <c r="D225" s="8">
        <f>LOOKUP(EOMONTH(A225,0),Target_Prices!A$2:A$38,Target_Prices!D$2:D$38)</f>
        <v>13.4034</v>
      </c>
      <c r="E225">
        <f t="shared" si="8"/>
        <v>-9.9123398516520633E-2</v>
      </c>
      <c r="F225">
        <f t="shared" si="7"/>
        <v>3.2485029940119842E-3</v>
      </c>
    </row>
    <row r="226" spans="1:6" x14ac:dyDescent="0.35">
      <c r="A226" s="15">
        <v>42886</v>
      </c>
      <c r="B226" t="s">
        <v>6</v>
      </c>
      <c r="C226" s="4">
        <v>14.18</v>
      </c>
      <c r="D226" s="8">
        <f>LOOKUP(EOMONTH(A226,0),Target_Prices!A$2:A$38,Target_Prices!D$2:D$38)</f>
        <v>13.4034</v>
      </c>
      <c r="E226">
        <f t="shared" si="8"/>
        <v>6.1377245508982048E-2</v>
      </c>
      <c r="F226">
        <f t="shared" si="7"/>
        <v>-5.4767277856135416E-2</v>
      </c>
    </row>
    <row r="227" spans="1:6" x14ac:dyDescent="0.35">
      <c r="A227" s="16">
        <v>42916</v>
      </c>
      <c r="B227" t="s">
        <v>6</v>
      </c>
      <c r="C227" s="3">
        <v>13.73</v>
      </c>
      <c r="D227" s="8">
        <f>LOOKUP(EOMONTH(A227,0),Target_Prices!A$2:A$38,Target_Prices!D$2:D$38)</f>
        <v>13.475</v>
      </c>
      <c r="E227">
        <f t="shared" si="8"/>
        <v>-3.1734837799717863E-2</v>
      </c>
      <c r="F227">
        <f t="shared" si="7"/>
        <v>-1.8572469045884981E-2</v>
      </c>
    </row>
    <row r="228" spans="1:6" x14ac:dyDescent="0.35">
      <c r="A228" s="15">
        <v>42947</v>
      </c>
      <c r="B228" t="s">
        <v>6</v>
      </c>
      <c r="C228" s="4">
        <v>13.82</v>
      </c>
      <c r="D228" s="8">
        <f>LOOKUP(EOMONTH(A228,0),Target_Prices!A$2:A$38,Target_Prices!D$2:D$38)</f>
        <v>13.475</v>
      </c>
      <c r="E228">
        <f t="shared" si="8"/>
        <v>6.5549890750182804E-3</v>
      </c>
      <c r="F228">
        <f t="shared" si="7"/>
        <v>-2.4963820549927688E-2</v>
      </c>
    </row>
    <row r="229" spans="1:6" x14ac:dyDescent="0.35">
      <c r="A229" s="16">
        <v>42978</v>
      </c>
      <c r="B229" t="s">
        <v>6</v>
      </c>
      <c r="C229" s="3">
        <v>15.08</v>
      </c>
      <c r="D229" s="8">
        <f>LOOKUP(EOMONTH(A229,0),Target_Prices!A$2:A$38,Target_Prices!D$2:D$38)</f>
        <v>13.475</v>
      </c>
      <c r="E229">
        <f t="shared" si="8"/>
        <v>9.1172214182344335E-2</v>
      </c>
      <c r="F229">
        <f t="shared" si="7"/>
        <v>-0.1064323607427056</v>
      </c>
    </row>
    <row r="230" spans="1:6" x14ac:dyDescent="0.35">
      <c r="A230" s="15">
        <v>43007</v>
      </c>
      <c r="B230" t="s">
        <v>6</v>
      </c>
      <c r="C230" s="4">
        <v>16.89</v>
      </c>
      <c r="D230" s="8">
        <f>LOOKUP(EOMONTH(A230,0),Target_Prices!A$2:A$38,Target_Prices!D$2:D$38)</f>
        <v>14.7889</v>
      </c>
      <c r="E230">
        <f t="shared" si="8"/>
        <v>0.12002652519893897</v>
      </c>
      <c r="F230">
        <f t="shared" si="7"/>
        <v>-0.12439905269390175</v>
      </c>
    </row>
    <row r="231" spans="1:6" x14ac:dyDescent="0.35">
      <c r="A231" s="16">
        <v>43039</v>
      </c>
      <c r="B231" t="s">
        <v>6</v>
      </c>
      <c r="C231" s="3">
        <v>18.23</v>
      </c>
      <c r="D231" s="8">
        <f>LOOKUP(EOMONTH(A231,0),Target_Prices!A$2:A$38,Target_Prices!D$2:D$38)</f>
        <v>14.7889</v>
      </c>
      <c r="E231">
        <f t="shared" si="8"/>
        <v>7.9336885731201789E-2</v>
      </c>
      <c r="F231">
        <f t="shared" si="7"/>
        <v>-0.18876028524410315</v>
      </c>
    </row>
    <row r="232" spans="1:6" x14ac:dyDescent="0.35">
      <c r="A232" s="15">
        <v>43069</v>
      </c>
      <c r="B232" t="s">
        <v>6</v>
      </c>
      <c r="C232" s="4">
        <v>17.68</v>
      </c>
      <c r="D232" s="8">
        <f>LOOKUP(EOMONTH(A232,0),Target_Prices!A$2:A$38,Target_Prices!D$2:D$38)</f>
        <v>14.7889</v>
      </c>
      <c r="E232">
        <f t="shared" si="8"/>
        <v>-3.0170049369171781E-2</v>
      </c>
      <c r="F232">
        <f t="shared" si="7"/>
        <v>-0.16352375565610858</v>
      </c>
    </row>
    <row r="233" spans="1:6" x14ac:dyDescent="0.35">
      <c r="A233" s="16">
        <v>43098</v>
      </c>
      <c r="B233" t="s">
        <v>6</v>
      </c>
      <c r="C233" s="3">
        <v>16.5</v>
      </c>
      <c r="D233" s="8">
        <f>LOOKUP(EOMONTH(A233,0),Target_Prices!A$2:A$38,Target_Prices!D$2:D$38)</f>
        <v>17.579499999999999</v>
      </c>
      <c r="E233">
        <f t="shared" si="8"/>
        <v>-6.6742081447963786E-2</v>
      </c>
      <c r="F233">
        <f t="shared" si="7"/>
        <v>6.5424242424242385E-2</v>
      </c>
    </row>
    <row r="234" spans="1:6" x14ac:dyDescent="0.35">
      <c r="A234" s="15">
        <v>43131</v>
      </c>
      <c r="B234" t="s">
        <v>6</v>
      </c>
      <c r="C234" s="4">
        <v>17.465</v>
      </c>
      <c r="D234" s="8">
        <f>LOOKUP(EOMONTH(A234,0),Target_Prices!A$2:A$38,Target_Prices!D$2:D$38)</f>
        <v>17.579499999999999</v>
      </c>
      <c r="E234">
        <f t="shared" si="8"/>
        <v>5.8484848484848584E-2</v>
      </c>
      <c r="F234">
        <f t="shared" si="7"/>
        <v>6.5559690810191584E-3</v>
      </c>
    </row>
    <row r="235" spans="1:6" x14ac:dyDescent="0.35">
      <c r="A235" s="16">
        <v>43159</v>
      </c>
      <c r="B235" t="s">
        <v>6</v>
      </c>
      <c r="C235" s="3">
        <v>18.05</v>
      </c>
      <c r="D235" s="8">
        <f>LOOKUP(EOMONTH(A235,0),Target_Prices!A$2:A$38,Target_Prices!D$2:D$38)</f>
        <v>17.579499999999999</v>
      </c>
      <c r="E235">
        <f t="shared" si="8"/>
        <v>3.3495562553678804E-2</v>
      </c>
      <c r="F235">
        <f t="shared" si="7"/>
        <v>-2.6066481994459902E-2</v>
      </c>
    </row>
    <row r="236" spans="1:6" x14ac:dyDescent="0.35">
      <c r="A236" s="15">
        <v>43189</v>
      </c>
      <c r="B236" t="s">
        <v>6</v>
      </c>
      <c r="C236" s="4">
        <v>17.45</v>
      </c>
      <c r="D236" s="8">
        <f>LOOKUP(EOMONTH(A236,0),Target_Prices!A$2:A$38,Target_Prices!D$2:D$38)</f>
        <v>18.115200000000002</v>
      </c>
      <c r="E236">
        <f t="shared" si="8"/>
        <v>-3.3240997229917024E-2</v>
      </c>
      <c r="F236">
        <f t="shared" si="7"/>
        <v>3.812034383954168E-2</v>
      </c>
    </row>
    <row r="237" spans="1:6" x14ac:dyDescent="0.35">
      <c r="A237" s="16">
        <v>43220</v>
      </c>
      <c r="B237" t="s">
        <v>6</v>
      </c>
      <c r="C237" s="3">
        <v>19.11</v>
      </c>
      <c r="D237" s="8">
        <f>LOOKUP(EOMONTH(A237,0),Target_Prices!A$2:A$38,Target_Prices!D$2:D$38)</f>
        <v>18.115200000000002</v>
      </c>
      <c r="E237">
        <f t="shared" si="8"/>
        <v>9.512893982808035E-2</v>
      </c>
      <c r="F237">
        <f t="shared" si="7"/>
        <v>-5.2056514913657662E-2</v>
      </c>
    </row>
    <row r="238" spans="1:6" x14ac:dyDescent="0.35">
      <c r="A238" s="15">
        <v>43251</v>
      </c>
      <c r="B238" t="s">
        <v>6</v>
      </c>
      <c r="C238" s="4">
        <v>20.11</v>
      </c>
      <c r="D238" s="8">
        <f>LOOKUP(EOMONTH(A238,0),Target_Prices!A$2:A$38,Target_Prices!D$2:D$38)</f>
        <v>18.115200000000002</v>
      </c>
      <c r="E238">
        <f t="shared" si="8"/>
        <v>5.2328623757195158E-2</v>
      </c>
      <c r="F238">
        <f t="shared" si="7"/>
        <v>-9.9194430631526498E-2</v>
      </c>
    </row>
    <row r="239" spans="1:6" x14ac:dyDescent="0.35">
      <c r="A239" s="16">
        <v>43280</v>
      </c>
      <c r="B239" t="s">
        <v>6</v>
      </c>
      <c r="C239" s="3">
        <v>20.440000000000001</v>
      </c>
      <c r="D239" s="8">
        <f>LOOKUP(EOMONTH(A239,0),Target_Prices!A$2:A$38,Target_Prices!D$2:D$38)</f>
        <v>19.375</v>
      </c>
      <c r="E239">
        <f t="shared" si="8"/>
        <v>1.6409746394828506E-2</v>
      </c>
      <c r="F239">
        <f t="shared" si="7"/>
        <v>-5.210371819960867E-2</v>
      </c>
    </row>
    <row r="240" spans="1:6" x14ac:dyDescent="0.35">
      <c r="A240" s="15">
        <v>43312</v>
      </c>
      <c r="B240" t="s">
        <v>6</v>
      </c>
      <c r="C240" s="4">
        <v>21.48</v>
      </c>
      <c r="D240" s="8">
        <f>LOOKUP(EOMONTH(A240,0),Target_Prices!A$2:A$38,Target_Prices!D$2:D$38)</f>
        <v>19.375</v>
      </c>
      <c r="E240">
        <f t="shared" si="8"/>
        <v>5.0880626223091863E-2</v>
      </c>
      <c r="F240">
        <f t="shared" si="7"/>
        <v>-9.7998137802607091E-2</v>
      </c>
    </row>
    <row r="241" spans="1:6" x14ac:dyDescent="0.35">
      <c r="A241" s="16">
        <v>43343</v>
      </c>
      <c r="B241" t="s">
        <v>6</v>
      </c>
      <c r="C241" s="3">
        <v>21.8</v>
      </c>
      <c r="D241" s="8">
        <f>LOOKUP(EOMONTH(A241,0),Target_Prices!A$2:A$38,Target_Prices!D$2:D$38)</f>
        <v>19.375</v>
      </c>
      <c r="E241">
        <f t="shared" si="8"/>
        <v>1.4897579143389184E-2</v>
      </c>
      <c r="F241">
        <f t="shared" si="7"/>
        <v>-0.11123853211009177</v>
      </c>
    </row>
    <row r="242" spans="1:6" x14ac:dyDescent="0.35">
      <c r="A242" s="15">
        <v>43371</v>
      </c>
      <c r="B242" t="s">
        <v>6</v>
      </c>
      <c r="C242" s="4">
        <v>21.59</v>
      </c>
      <c r="D242" s="8">
        <f>LOOKUP(EOMONTH(A242,0),Target_Prices!A$2:A$38,Target_Prices!D$2:D$38)</f>
        <v>21.35</v>
      </c>
      <c r="E242">
        <f t="shared" si="8"/>
        <v>-9.633027522935822E-3</v>
      </c>
      <c r="F242">
        <f t="shared" si="7"/>
        <v>-1.1116257526632627E-2</v>
      </c>
    </row>
    <row r="243" spans="1:6" x14ac:dyDescent="0.35">
      <c r="A243" s="16">
        <v>43404</v>
      </c>
      <c r="B243" t="s">
        <v>6</v>
      </c>
      <c r="C243" s="3">
        <v>18.594999999999999</v>
      </c>
      <c r="D243" s="8">
        <f>LOOKUP(EOMONTH(A243,0),Target_Prices!A$2:A$38,Target_Prices!D$2:D$38)</f>
        <v>21.35</v>
      </c>
      <c r="E243">
        <f t="shared" si="8"/>
        <v>-0.1387216303844373</v>
      </c>
      <c r="F243">
        <f t="shared" si="7"/>
        <v>0.14815810701801574</v>
      </c>
    </row>
    <row r="244" spans="1:6" x14ac:dyDescent="0.35">
      <c r="A244" s="15">
        <v>43434</v>
      </c>
      <c r="B244" t="s">
        <v>6</v>
      </c>
      <c r="C244" s="4">
        <v>18.41</v>
      </c>
      <c r="D244" s="8">
        <f>LOOKUP(EOMONTH(A244,0),Target_Prices!A$2:A$38,Target_Prices!D$2:D$38)</f>
        <v>21.35</v>
      </c>
      <c r="E244">
        <f t="shared" si="8"/>
        <v>-9.9489109975798851E-3</v>
      </c>
      <c r="F244">
        <f t="shared" si="7"/>
        <v>0.15969581749049436</v>
      </c>
    </row>
    <row r="245" spans="1:6" x14ac:dyDescent="0.35">
      <c r="A245" s="16">
        <v>43465</v>
      </c>
      <c r="B245" t="s">
        <v>6</v>
      </c>
      <c r="C245" s="3">
        <v>19.100000000000001</v>
      </c>
      <c r="D245" s="8">
        <f>LOOKUP(EOMONTH(A245,0),Target_Prices!A$2:A$38,Target_Prices!D$2:D$38)</f>
        <v>20.2333</v>
      </c>
      <c r="E245">
        <f t="shared" si="8"/>
        <v>3.7479630635524286E-2</v>
      </c>
      <c r="F245">
        <f t="shared" si="7"/>
        <v>5.9335078534031326E-2</v>
      </c>
    </row>
    <row r="246" spans="1:6" x14ac:dyDescent="0.35">
      <c r="A246" s="15">
        <v>43496</v>
      </c>
      <c r="B246" t="s">
        <v>6</v>
      </c>
      <c r="C246" s="4">
        <v>19.82</v>
      </c>
      <c r="D246" s="8">
        <f>LOOKUP(EOMONTH(A246,0),Target_Prices!A$2:A$38,Target_Prices!D$2:D$38)</f>
        <v>20.2333</v>
      </c>
      <c r="E246">
        <f t="shared" si="8"/>
        <v>3.7696335078533982E-2</v>
      </c>
      <c r="F246">
        <f t="shared" si="7"/>
        <v>2.0852674066599373E-2</v>
      </c>
    </row>
    <row r="247" spans="1:6" x14ac:dyDescent="0.35">
      <c r="A247" s="16">
        <v>43524</v>
      </c>
      <c r="B247" t="s">
        <v>6</v>
      </c>
      <c r="C247" s="3">
        <v>19.52</v>
      </c>
      <c r="D247" s="8">
        <f>LOOKUP(EOMONTH(A247,0),Target_Prices!A$2:A$38,Target_Prices!D$2:D$38)</f>
        <v>20.2333</v>
      </c>
      <c r="E247">
        <f t="shared" si="8"/>
        <v>-1.5136226034308864E-2</v>
      </c>
      <c r="F247">
        <f t="shared" si="7"/>
        <v>3.6542008196721328E-2</v>
      </c>
    </row>
    <row r="248" spans="1:6" x14ac:dyDescent="0.35">
      <c r="A248" s="15">
        <v>43553</v>
      </c>
      <c r="B248" t="s">
        <v>6</v>
      </c>
      <c r="C248" s="4">
        <v>18.23</v>
      </c>
      <c r="D248" s="8">
        <f>LOOKUP(EOMONTH(A248,0),Target_Prices!A$2:A$38,Target_Prices!D$2:D$38)</f>
        <v>21.118400000000001</v>
      </c>
      <c r="E248">
        <f t="shared" si="8"/>
        <v>-6.6086065573770503E-2</v>
      </c>
      <c r="F248">
        <f t="shared" si="7"/>
        <v>0.15844212835984645</v>
      </c>
    </row>
    <row r="249" spans="1:6" x14ac:dyDescent="0.35">
      <c r="A249" s="16">
        <v>43585</v>
      </c>
      <c r="B249" t="s">
        <v>6</v>
      </c>
      <c r="C249" s="3">
        <v>18.84</v>
      </c>
      <c r="D249" s="8">
        <f>LOOKUP(EOMONTH(A249,0),Target_Prices!A$2:A$38,Target_Prices!D$2:D$38)</f>
        <v>21.118400000000001</v>
      </c>
      <c r="E249">
        <f t="shared" si="8"/>
        <v>3.3461327482172232E-2</v>
      </c>
      <c r="F249">
        <f t="shared" si="7"/>
        <v>0.12093418259023361</v>
      </c>
    </row>
    <row r="250" spans="1:6" x14ac:dyDescent="0.35">
      <c r="A250" s="15">
        <v>43616</v>
      </c>
      <c r="B250" t="s">
        <v>6</v>
      </c>
      <c r="C250" s="4">
        <v>19.13</v>
      </c>
      <c r="D250" s="8">
        <f>LOOKUP(EOMONTH(A250,0),Target_Prices!A$2:A$38,Target_Prices!D$2:D$38)</f>
        <v>21.118400000000001</v>
      </c>
      <c r="E250">
        <f t="shared" si="8"/>
        <v>1.5392781316348136E-2</v>
      </c>
      <c r="F250">
        <f t="shared" si="7"/>
        <v>0.10394145321484591</v>
      </c>
    </row>
    <row r="251" spans="1:6" x14ac:dyDescent="0.35">
      <c r="A251" s="16">
        <v>43644</v>
      </c>
      <c r="B251" t="s">
        <v>6</v>
      </c>
      <c r="C251" s="3">
        <v>19.434999999999999</v>
      </c>
      <c r="D251" s="8">
        <f>LOOKUP(EOMONTH(A251,0),Target_Prices!A$2:A$38,Target_Prices!D$2:D$38)</f>
        <v>20.897200000000002</v>
      </c>
      <c r="E251">
        <f t="shared" si="8"/>
        <v>1.5943544171458379E-2</v>
      </c>
      <c r="F251">
        <f t="shared" si="7"/>
        <v>7.523540005145371E-2</v>
      </c>
    </row>
    <row r="252" spans="1:6" x14ac:dyDescent="0.35">
      <c r="A252" s="15">
        <v>43677</v>
      </c>
      <c r="B252" t="s">
        <v>6</v>
      </c>
      <c r="C252" s="4">
        <v>20.8</v>
      </c>
      <c r="D252" s="8">
        <f>LOOKUP(EOMONTH(A252,0),Target_Prices!A$2:A$38,Target_Prices!D$2:D$38)</f>
        <v>20.897200000000002</v>
      </c>
      <c r="E252">
        <f t="shared" si="8"/>
        <v>7.0234113712374757E-2</v>
      </c>
      <c r="F252">
        <f t="shared" si="7"/>
        <v>4.6730769230769638E-3</v>
      </c>
    </row>
    <row r="253" spans="1:6" x14ac:dyDescent="0.35">
      <c r="A253" s="16">
        <v>43707</v>
      </c>
      <c r="B253" t="s">
        <v>6</v>
      </c>
      <c r="C253" s="3">
        <v>20.010000000000002</v>
      </c>
      <c r="D253" s="8">
        <f>LOOKUP(EOMONTH(A253,0),Target_Prices!A$2:A$38,Target_Prices!D$2:D$38)</f>
        <v>20.897200000000002</v>
      </c>
      <c r="E253">
        <f t="shared" si="8"/>
        <v>-3.7980769230769207E-2</v>
      </c>
      <c r="F253">
        <f t="shared" si="7"/>
        <v>4.4337831084457768E-2</v>
      </c>
    </row>
    <row r="254" spans="1:6" x14ac:dyDescent="0.35">
      <c r="A254" s="15">
        <v>43738</v>
      </c>
      <c r="B254" t="s">
        <v>6</v>
      </c>
      <c r="C254" s="4">
        <v>21.69</v>
      </c>
      <c r="D254" s="8">
        <f>LOOKUP(EOMONTH(A254,0),Target_Prices!A$2:A$38,Target_Prices!D$2:D$38)</f>
        <v>21.85</v>
      </c>
      <c r="E254">
        <f t="shared" si="8"/>
        <v>8.3958020989505222E-2</v>
      </c>
      <c r="F254">
        <f t="shared" si="7"/>
        <v>7.3766712770862207E-3</v>
      </c>
    </row>
    <row r="255" spans="1:6" x14ac:dyDescent="0.35">
      <c r="A255" s="16">
        <v>43769</v>
      </c>
      <c r="B255" t="s">
        <v>6</v>
      </c>
      <c r="C255" s="3">
        <v>21.89</v>
      </c>
      <c r="D255" s="8">
        <f>LOOKUP(EOMONTH(A255,0),Target_Prices!A$2:A$38,Target_Prices!D$2:D$38)</f>
        <v>21.85</v>
      </c>
      <c r="E255">
        <f t="shared" si="8"/>
        <v>9.2208390963577358E-3</v>
      </c>
      <c r="F255">
        <f t="shared" si="7"/>
        <v>-1.8273184102329441E-3</v>
      </c>
    </row>
    <row r="256" spans="1:6" x14ac:dyDescent="0.35">
      <c r="A256" s="15">
        <v>43798</v>
      </c>
      <c r="B256" t="s">
        <v>6</v>
      </c>
      <c r="C256" s="4">
        <v>21.39</v>
      </c>
      <c r="D256" s="8">
        <f>LOOKUP(EOMONTH(A256,0),Target_Prices!A$2:A$38,Target_Prices!D$2:D$38)</f>
        <v>21.85</v>
      </c>
      <c r="E256">
        <f t="shared" si="8"/>
        <v>-2.2841480127912317E-2</v>
      </c>
      <c r="F256">
        <f t="shared" si="7"/>
        <v>2.1505376344086061E-2</v>
      </c>
    </row>
    <row r="257" spans="1:6" x14ac:dyDescent="0.35">
      <c r="A257" s="16">
        <v>43830</v>
      </c>
      <c r="B257" t="s">
        <v>6</v>
      </c>
      <c r="C257" s="3">
        <v>22</v>
      </c>
      <c r="D257" s="8">
        <f>LOOKUP(EOMONTH(A257,0),Target_Prices!A$2:A$38,Target_Prices!D$2:D$38)</f>
        <v>22.9467</v>
      </c>
      <c r="E257">
        <f t="shared" si="8"/>
        <v>2.8517999064983535E-2</v>
      </c>
      <c r="F257">
        <f t="shared" si="7"/>
        <v>4.3031818181818178E-2</v>
      </c>
    </row>
    <row r="258" spans="1:6" x14ac:dyDescent="0.35">
      <c r="A258" s="15">
        <v>43861</v>
      </c>
      <c r="B258" t="s">
        <v>6</v>
      </c>
      <c r="C258" s="4">
        <v>21.86</v>
      </c>
      <c r="D258" s="8">
        <f>LOOKUP(EOMONTH(A258,0),Target_Prices!A$2:A$38,Target_Prices!D$2:D$38)</f>
        <v>22.9467</v>
      </c>
      <c r="E258">
        <f t="shared" si="8"/>
        <v>-6.3636363636363491E-3</v>
      </c>
      <c r="F258">
        <f t="shared" si="7"/>
        <v>4.9711802378774039E-2</v>
      </c>
    </row>
    <row r="259" spans="1:6" x14ac:dyDescent="0.35">
      <c r="A259" s="16">
        <v>43889</v>
      </c>
      <c r="B259" t="s">
        <v>6</v>
      </c>
      <c r="C259" s="3">
        <v>19.28</v>
      </c>
      <c r="D259" s="8">
        <f>LOOKUP(EOMONTH(A259,0),Target_Prices!A$2:A$38,Target_Prices!D$2:D$38)</f>
        <v>22.9467</v>
      </c>
      <c r="E259">
        <f t="shared" si="8"/>
        <v>-0.11802378774016464</v>
      </c>
      <c r="F259">
        <f t="shared" ref="F259:F322" si="9">(D259-C259)/C259</f>
        <v>0.19018153526970946</v>
      </c>
    </row>
    <row r="260" spans="1:6" x14ac:dyDescent="0.35">
      <c r="A260" s="15">
        <v>43921</v>
      </c>
      <c r="B260" t="s">
        <v>6</v>
      </c>
      <c r="C260" s="4">
        <v>13.375</v>
      </c>
      <c r="D260" s="8">
        <f>LOOKUP(EOMONTH(A260,0),Target_Prices!A$2:A$38,Target_Prices!D$2:D$38)</f>
        <v>19.3444</v>
      </c>
      <c r="E260">
        <f t="shared" si="8"/>
        <v>-0.30627593360995853</v>
      </c>
      <c r="F260">
        <f t="shared" si="9"/>
        <v>0.4463102803738318</v>
      </c>
    </row>
    <row r="261" spans="1:6" x14ac:dyDescent="0.35">
      <c r="A261" s="16">
        <v>43951</v>
      </c>
      <c r="B261" t="s">
        <v>6</v>
      </c>
      <c r="C261" s="3">
        <v>15.15</v>
      </c>
      <c r="D261" s="8">
        <f>LOOKUP(EOMONTH(A261,0),Target_Prices!A$2:A$38,Target_Prices!D$2:D$38)</f>
        <v>19.3444</v>
      </c>
      <c r="E261">
        <f t="shared" si="8"/>
        <v>0.13271028037383181</v>
      </c>
      <c r="F261">
        <f t="shared" si="9"/>
        <v>0.27685808580858084</v>
      </c>
    </row>
    <row r="262" spans="1:6" x14ac:dyDescent="0.35">
      <c r="A262" s="15">
        <v>43980</v>
      </c>
      <c r="B262" t="s">
        <v>6</v>
      </c>
      <c r="C262" s="4">
        <v>17.22</v>
      </c>
      <c r="D262" s="8">
        <f>LOOKUP(EOMONTH(A262,0),Target_Prices!A$2:A$38,Target_Prices!D$2:D$38)</f>
        <v>19.3444</v>
      </c>
      <c r="E262">
        <f t="shared" si="8"/>
        <v>0.13663366336633653</v>
      </c>
      <c r="F262">
        <f t="shared" si="9"/>
        <v>0.12336817653890833</v>
      </c>
    </row>
    <row r="263" spans="1:6" x14ac:dyDescent="0.35">
      <c r="A263" s="16">
        <v>44012</v>
      </c>
      <c r="B263" t="s">
        <v>6</v>
      </c>
      <c r="C263" s="3">
        <v>16.905000000000001</v>
      </c>
      <c r="D263" s="8">
        <f>LOOKUP(EOMONTH(A263,0),Target_Prices!A$2:A$38,Target_Prices!D$2:D$38)</f>
        <v>17.86</v>
      </c>
      <c r="E263">
        <f t="shared" si="8"/>
        <v>-1.8292682926829174E-2</v>
      </c>
      <c r="F263">
        <f t="shared" si="9"/>
        <v>5.6492162082224087E-2</v>
      </c>
    </row>
    <row r="264" spans="1:6" x14ac:dyDescent="0.35">
      <c r="A264" s="15">
        <v>44043</v>
      </c>
      <c r="B264" t="s">
        <v>6</v>
      </c>
      <c r="C264" s="4">
        <v>17.22</v>
      </c>
      <c r="D264" s="8">
        <f>LOOKUP(EOMONTH(A264,0),Target_Prices!A$2:A$38,Target_Prices!D$2:D$38)</f>
        <v>17.86</v>
      </c>
      <c r="E264">
        <f t="shared" si="8"/>
        <v>1.8633540372670732E-2</v>
      </c>
      <c r="F264">
        <f t="shared" si="9"/>
        <v>3.7166085946573786E-2</v>
      </c>
    </row>
    <row r="265" spans="1:6" x14ac:dyDescent="0.35">
      <c r="A265" s="16">
        <v>44074</v>
      </c>
      <c r="B265" t="s">
        <v>6</v>
      </c>
      <c r="C265" s="3">
        <v>17.715</v>
      </c>
      <c r="D265" s="8">
        <f>LOOKUP(EOMONTH(A265,0),Target_Prices!A$2:A$38,Target_Prices!D$2:D$38)</f>
        <v>17.86</v>
      </c>
      <c r="E265">
        <f t="shared" si="8"/>
        <v>2.8745644599303288E-2</v>
      </c>
      <c r="F265">
        <f t="shared" si="9"/>
        <v>8.1851538244425391E-3</v>
      </c>
    </row>
    <row r="266" spans="1:6" x14ac:dyDescent="0.35">
      <c r="A266" s="15">
        <v>44104</v>
      </c>
      <c r="B266" t="s">
        <v>6</v>
      </c>
      <c r="C266" s="4">
        <v>17.274999999999999</v>
      </c>
      <c r="D266" s="8">
        <f>LOOKUP(EOMONTH(A266,0),Target_Prices!A$2:A$38,Target_Prices!D$2:D$38)</f>
        <v>19.315000000000001</v>
      </c>
      <c r="E266">
        <f t="shared" si="8"/>
        <v>-2.4837708156929206E-2</v>
      </c>
      <c r="F266">
        <f t="shared" si="9"/>
        <v>0.11808972503617962</v>
      </c>
    </row>
    <row r="267" spans="1:6" x14ac:dyDescent="0.35">
      <c r="A267" s="16">
        <v>44134</v>
      </c>
      <c r="B267" t="s">
        <v>6</v>
      </c>
      <c r="C267" s="3">
        <v>16.149999999999999</v>
      </c>
      <c r="D267" s="8">
        <f>LOOKUP(EOMONTH(A267,0),Target_Prices!A$2:A$38,Target_Prices!D$2:D$38)</f>
        <v>19.315000000000001</v>
      </c>
      <c r="E267">
        <f t="shared" si="8"/>
        <v>-6.5123010130246017E-2</v>
      </c>
      <c r="F267">
        <f t="shared" si="9"/>
        <v>0.19597523219814261</v>
      </c>
    </row>
    <row r="268" spans="1:6" x14ac:dyDescent="0.35">
      <c r="A268" s="15">
        <v>44165</v>
      </c>
      <c r="B268" t="s">
        <v>6</v>
      </c>
      <c r="C268" s="4">
        <v>19.204999999999998</v>
      </c>
      <c r="D268" s="8">
        <f>LOOKUP(EOMONTH(A268,0),Target_Prices!A$2:A$38,Target_Prices!D$2:D$38)</f>
        <v>19.315000000000001</v>
      </c>
      <c r="E268">
        <f t="shared" si="8"/>
        <v>0.18916408668730655</v>
      </c>
      <c r="F268">
        <f t="shared" si="9"/>
        <v>5.7276750846135382E-3</v>
      </c>
    </row>
    <row r="269" spans="1:6" x14ac:dyDescent="0.35">
      <c r="A269" s="16">
        <v>44196</v>
      </c>
      <c r="B269" t="s">
        <v>6</v>
      </c>
      <c r="C269" s="3">
        <v>19.7</v>
      </c>
      <c r="D269" s="8">
        <f>LOOKUP(EOMONTH(A269,0),Target_Prices!A$2:A$38,Target_Prices!D$2:D$38)</f>
        <v>19.475000000000001</v>
      </c>
      <c r="E269">
        <f t="shared" si="8"/>
        <v>2.577453788076034E-2</v>
      </c>
      <c r="F269">
        <f t="shared" si="9"/>
        <v>-1.1421319796954207E-2</v>
      </c>
    </row>
    <row r="270" spans="1:6" x14ac:dyDescent="0.35">
      <c r="A270" s="15">
        <v>44225</v>
      </c>
      <c r="B270" t="s">
        <v>6</v>
      </c>
      <c r="C270" s="4">
        <v>19.984999999999999</v>
      </c>
      <c r="D270" s="8">
        <f>LOOKUP(EOMONTH(A270,0),Target_Prices!A$2:A$38,Target_Prices!D$2:D$38)</f>
        <v>19.475000000000001</v>
      </c>
      <c r="E270">
        <f t="shared" si="8"/>
        <v>1.4467005076142181E-2</v>
      </c>
      <c r="F270">
        <f t="shared" si="9"/>
        <v>-2.5519139354515788E-2</v>
      </c>
    </row>
    <row r="271" spans="1:6" x14ac:dyDescent="0.35">
      <c r="A271" s="16">
        <v>44253</v>
      </c>
      <c r="B271" t="s">
        <v>6</v>
      </c>
      <c r="C271" s="3">
        <v>20.69</v>
      </c>
      <c r="D271" s="8">
        <f>LOOKUP(EOMONTH(A271,0),Target_Prices!A$2:A$38,Target_Prices!D$2:D$38)</f>
        <v>19.475000000000001</v>
      </c>
      <c r="E271">
        <f t="shared" si="8"/>
        <v>3.5276457343007328E-2</v>
      </c>
      <c r="F271">
        <f t="shared" si="9"/>
        <v>-5.8724021266312217E-2</v>
      </c>
    </row>
    <row r="272" spans="1:6" x14ac:dyDescent="0.35">
      <c r="A272" s="15">
        <v>44286</v>
      </c>
      <c r="B272" t="s">
        <v>6</v>
      </c>
      <c r="C272" s="4">
        <v>22.76</v>
      </c>
      <c r="D272" s="8">
        <f>LOOKUP(EOMONTH(A272,0),Target_Prices!A$2:A$38,Target_Prices!D$2:D$38)</f>
        <v>21.383299999999998</v>
      </c>
      <c r="E272">
        <f t="shared" si="8"/>
        <v>0.10004833252779122</v>
      </c>
      <c r="F272">
        <f t="shared" si="9"/>
        <v>-6.0487697715290119E-2</v>
      </c>
    </row>
    <row r="273" spans="1:6" x14ac:dyDescent="0.35">
      <c r="A273" s="16">
        <v>44316</v>
      </c>
      <c r="B273" t="s">
        <v>6</v>
      </c>
      <c r="C273" s="3">
        <v>21.85</v>
      </c>
      <c r="D273" s="8">
        <f>LOOKUP(EOMONTH(A273,0),Target_Prices!A$2:A$38,Target_Prices!D$2:D$38)</f>
        <v>21.383299999999998</v>
      </c>
      <c r="E273">
        <f t="shared" si="8"/>
        <v>-3.9982425307557135E-2</v>
      </c>
      <c r="F273">
        <f t="shared" si="9"/>
        <v>-2.1359267734553912E-2</v>
      </c>
    </row>
    <row r="274" spans="1:6" x14ac:dyDescent="0.35">
      <c r="A274" s="15">
        <v>44347</v>
      </c>
      <c r="B274" t="s">
        <v>6</v>
      </c>
      <c r="C274" s="4">
        <v>23.31</v>
      </c>
      <c r="D274" s="8">
        <f>LOOKUP(EOMONTH(A274,0),Target_Prices!A$2:A$38,Target_Prices!D$2:D$38)</f>
        <v>21.383299999999998</v>
      </c>
      <c r="E274">
        <f t="shared" si="8"/>
        <v>6.6819221967963305E-2</v>
      </c>
      <c r="F274">
        <f t="shared" si="9"/>
        <v>-8.2655512655512672E-2</v>
      </c>
    </row>
    <row r="275" spans="1:6" x14ac:dyDescent="0.35">
      <c r="A275" s="16">
        <v>44377</v>
      </c>
      <c r="B275" t="s">
        <v>6</v>
      </c>
      <c r="C275" s="3">
        <v>23.26</v>
      </c>
      <c r="D275" s="8">
        <f>LOOKUP(EOMONTH(A275,0),Target_Prices!A$2:A$38,Target_Prices!D$2:D$38)</f>
        <v>22.558800000000002</v>
      </c>
      <c r="E275">
        <f t="shared" si="8"/>
        <v>-2.1450021450020174E-3</v>
      </c>
      <c r="F275">
        <f t="shared" si="9"/>
        <v>-3.0146173688736028E-2</v>
      </c>
    </row>
    <row r="276" spans="1:6" x14ac:dyDescent="0.35">
      <c r="A276" s="15">
        <v>44407</v>
      </c>
      <c r="B276" t="s">
        <v>6</v>
      </c>
      <c r="C276" s="4">
        <v>23.24</v>
      </c>
      <c r="D276" s="8">
        <f>LOOKUP(EOMONTH(A276,0),Target_Prices!A$2:A$38,Target_Prices!D$2:D$38)</f>
        <v>22.558800000000002</v>
      </c>
      <c r="E276">
        <f t="shared" si="8"/>
        <v>-8.5984522785909068E-4</v>
      </c>
      <c r="F276">
        <f t="shared" si="9"/>
        <v>-2.9311531841652194E-2</v>
      </c>
    </row>
    <row r="277" spans="1:6" x14ac:dyDescent="0.35">
      <c r="A277" s="16">
        <v>44439</v>
      </c>
      <c r="B277" t="s">
        <v>6</v>
      </c>
      <c r="C277" s="3">
        <v>25.72</v>
      </c>
      <c r="D277" s="8">
        <f>LOOKUP(EOMONTH(A277,0),Target_Prices!A$2:A$38,Target_Prices!D$2:D$38)</f>
        <v>22.558800000000002</v>
      </c>
      <c r="E277">
        <f t="shared" si="8"/>
        <v>0.10671256454388978</v>
      </c>
      <c r="F277">
        <f t="shared" si="9"/>
        <v>-0.12290824261275263</v>
      </c>
    </row>
    <row r="278" spans="1:6" x14ac:dyDescent="0.35">
      <c r="A278" s="15">
        <v>44469</v>
      </c>
      <c r="B278" t="s">
        <v>6</v>
      </c>
      <c r="C278" s="4">
        <v>26.29</v>
      </c>
      <c r="D278" s="8">
        <f>LOOKUP(EOMONTH(A278,0),Target_Prices!A$2:A$38,Target_Prices!D$2:D$38)</f>
        <v>25.82</v>
      </c>
      <c r="E278">
        <f t="shared" si="8"/>
        <v>2.2161741835147852E-2</v>
      </c>
      <c r="F278">
        <f t="shared" si="9"/>
        <v>-1.7877519969570137E-2</v>
      </c>
    </row>
    <row r="279" spans="1:6" x14ac:dyDescent="0.35">
      <c r="A279" s="16">
        <v>44498</v>
      </c>
      <c r="B279" t="s">
        <v>6</v>
      </c>
      <c r="C279" s="3">
        <v>25.7</v>
      </c>
      <c r="D279" s="8">
        <f>LOOKUP(EOMONTH(A279,0),Target_Prices!A$2:A$38,Target_Prices!D$2:D$38)</f>
        <v>25.82</v>
      </c>
      <c r="E279">
        <f t="shared" si="8"/>
        <v>-2.2441993153290207E-2</v>
      </c>
      <c r="F279">
        <f t="shared" si="9"/>
        <v>4.669260700389144E-3</v>
      </c>
    </row>
    <row r="280" spans="1:6" x14ac:dyDescent="0.35">
      <c r="A280" s="15">
        <v>44530</v>
      </c>
      <c r="B280" t="s">
        <v>6</v>
      </c>
      <c r="C280" s="4">
        <v>25.41</v>
      </c>
      <c r="D280" s="8">
        <f>LOOKUP(EOMONTH(A280,0),Target_Prices!A$2:A$38,Target_Prices!D$2:D$38)</f>
        <v>25.82</v>
      </c>
      <c r="E280">
        <f t="shared" si="8"/>
        <v>-1.1284046692606964E-2</v>
      </c>
      <c r="F280">
        <f t="shared" si="9"/>
        <v>1.6135379771743414E-2</v>
      </c>
    </row>
    <row r="281" spans="1:6" x14ac:dyDescent="0.35">
      <c r="A281" s="16">
        <v>44561</v>
      </c>
      <c r="B281" t="s">
        <v>6</v>
      </c>
      <c r="C281" s="3">
        <v>26.99</v>
      </c>
      <c r="D281" s="8">
        <f>LOOKUP(EOMONTH(A281,0),Target_Prices!A$2:A$38,Target_Prices!D$2:D$38)</f>
        <v>26.78</v>
      </c>
      <c r="E281">
        <f t="shared" si="8"/>
        <v>6.218024399842581E-2</v>
      </c>
      <c r="F281">
        <f t="shared" si="9"/>
        <v>-7.780659503519723E-3</v>
      </c>
    </row>
    <row r="282" spans="1:6" x14ac:dyDescent="0.35">
      <c r="A282" s="15">
        <v>44592</v>
      </c>
      <c r="B282" t="s">
        <v>6</v>
      </c>
      <c r="C282" s="4">
        <v>24.05</v>
      </c>
      <c r="D282" s="8">
        <f>LOOKUP(EOMONTH(A282,0),Target_Prices!A$2:A$38,Target_Prices!D$2:D$38)</f>
        <v>26.78</v>
      </c>
      <c r="E282">
        <f t="shared" si="8"/>
        <v>-0.10892923304927749</v>
      </c>
      <c r="F282">
        <f t="shared" si="9"/>
        <v>0.11351351351351353</v>
      </c>
    </row>
    <row r="283" spans="1:6" x14ac:dyDescent="0.35">
      <c r="A283" s="16">
        <v>44620</v>
      </c>
      <c r="B283" t="s">
        <v>6</v>
      </c>
      <c r="C283" s="3">
        <v>18.84</v>
      </c>
      <c r="D283" s="8">
        <f>LOOKUP(EOMONTH(A283,0),Target_Prices!A$2:A$38,Target_Prices!D$2:D$38)</f>
        <v>26.78</v>
      </c>
      <c r="E283">
        <f t="shared" si="8"/>
        <v>-0.2166320166320167</v>
      </c>
      <c r="F283">
        <f t="shared" si="9"/>
        <v>0.42144373673036101</v>
      </c>
    </row>
    <row r="284" spans="1:6" x14ac:dyDescent="0.35">
      <c r="A284" s="15">
        <v>44651</v>
      </c>
      <c r="B284" t="s">
        <v>6</v>
      </c>
      <c r="C284" s="4">
        <v>16.53</v>
      </c>
      <c r="D284" s="8">
        <f>LOOKUP(EOMONTH(A284,0),Target_Prices!A$2:A$38,Target_Prices!D$2:D$38)</f>
        <v>22.9941</v>
      </c>
      <c r="E284">
        <f t="shared" si="8"/>
        <v>-0.12261146496815278</v>
      </c>
      <c r="F284">
        <f t="shared" si="9"/>
        <v>0.39105263157894726</v>
      </c>
    </row>
    <row r="285" spans="1:6" x14ac:dyDescent="0.35">
      <c r="A285" s="16">
        <v>44680</v>
      </c>
      <c r="B285" t="s">
        <v>6</v>
      </c>
      <c r="C285" s="3">
        <v>15.9</v>
      </c>
      <c r="D285" s="8">
        <f>LOOKUP(EOMONTH(A285,0),Target_Prices!A$2:A$38,Target_Prices!D$2:D$38)</f>
        <v>22.9941</v>
      </c>
      <c r="E285">
        <f t="shared" si="8"/>
        <v>-3.8112522686025496E-2</v>
      </c>
      <c r="F285">
        <f t="shared" si="9"/>
        <v>0.44616981132075467</v>
      </c>
    </row>
    <row r="286" spans="1:6" x14ac:dyDescent="0.35">
      <c r="A286" s="15">
        <v>44712</v>
      </c>
      <c r="B286" t="s">
        <v>6</v>
      </c>
      <c r="C286" s="4">
        <v>17.2</v>
      </c>
      <c r="D286" s="8">
        <f>LOOKUP(EOMONTH(A286,0),Target_Prices!A$2:A$38,Target_Prices!D$2:D$38)</f>
        <v>22.9941</v>
      </c>
      <c r="E286">
        <f t="shared" si="8"/>
        <v>8.1761006289308158E-2</v>
      </c>
      <c r="F286">
        <f t="shared" si="9"/>
        <v>0.33686627906976746</v>
      </c>
    </row>
    <row r="287" spans="1:6" x14ac:dyDescent="0.35">
      <c r="A287" s="16">
        <v>44742</v>
      </c>
      <c r="B287" t="s">
        <v>6</v>
      </c>
      <c r="C287" s="3">
        <v>14.315</v>
      </c>
      <c r="D287" s="8">
        <f>LOOKUP(EOMONTH(A287,0),Target_Prices!A$2:A$38,Target_Prices!D$2:D$38)</f>
        <v>20.6267</v>
      </c>
      <c r="E287">
        <f t="shared" si="8"/>
        <v>-0.16773255813953492</v>
      </c>
      <c r="F287">
        <f t="shared" si="9"/>
        <v>0.44091512399580862</v>
      </c>
    </row>
    <row r="288" spans="1:6" x14ac:dyDescent="0.35">
      <c r="A288" s="15">
        <v>44771</v>
      </c>
      <c r="B288" t="s">
        <v>6</v>
      </c>
      <c r="C288" s="4">
        <v>10.914999999999999</v>
      </c>
      <c r="D288" s="8">
        <f>LOOKUP(EOMONTH(A288,0),Target_Prices!A$2:A$38,Target_Prices!D$2:D$38)</f>
        <v>20.6267</v>
      </c>
      <c r="E288">
        <f t="shared" ref="E288:E331" si="10">(C288/C287)-1</f>
        <v>-0.23751309814879495</v>
      </c>
      <c r="F288">
        <f t="shared" si="9"/>
        <v>0.88975721484196069</v>
      </c>
    </row>
    <row r="289" spans="1:6" x14ac:dyDescent="0.35">
      <c r="A289" s="16">
        <v>44804</v>
      </c>
      <c r="B289" t="s">
        <v>6</v>
      </c>
      <c r="C289" s="3">
        <v>10.244999999999999</v>
      </c>
      <c r="D289" s="8">
        <f>LOOKUP(EOMONTH(A289,0),Target_Prices!A$2:A$38,Target_Prices!D$2:D$38)</f>
        <v>20.6267</v>
      </c>
      <c r="E289">
        <f t="shared" si="10"/>
        <v>-6.1383417315620692E-2</v>
      </c>
      <c r="F289">
        <f t="shared" si="9"/>
        <v>1.013343094192289</v>
      </c>
    </row>
    <row r="290" spans="1:6" x14ac:dyDescent="0.35">
      <c r="A290" s="15">
        <v>44834</v>
      </c>
      <c r="B290" t="s">
        <v>6</v>
      </c>
      <c r="C290" s="4">
        <v>13.77</v>
      </c>
      <c r="D290" s="8">
        <f>LOOKUP(EOMONTH(A290,0),Target_Prices!A$2:A$38,Target_Prices!D$2:D$38)</f>
        <v>16.707699999999999</v>
      </c>
      <c r="E290">
        <f t="shared" si="10"/>
        <v>0.34407027818448022</v>
      </c>
      <c r="F290">
        <f t="shared" si="9"/>
        <v>0.21334059549745821</v>
      </c>
    </row>
    <row r="291" spans="1:6" x14ac:dyDescent="0.35">
      <c r="A291" s="16">
        <v>44865</v>
      </c>
      <c r="B291" t="s">
        <v>6</v>
      </c>
      <c r="C291" s="3">
        <v>14.244999999999999</v>
      </c>
      <c r="D291" s="8">
        <f>LOOKUP(EOMONTH(A291,0),Target_Prices!A$2:A$38,Target_Prices!D$2:D$38)</f>
        <v>16.707699999999999</v>
      </c>
      <c r="E291">
        <f t="shared" si="10"/>
        <v>3.4495279593318884E-2</v>
      </c>
      <c r="F291">
        <f t="shared" si="9"/>
        <v>0.17288171288171289</v>
      </c>
    </row>
    <row r="292" spans="1:6" x14ac:dyDescent="0.35">
      <c r="A292" s="15">
        <v>44895</v>
      </c>
      <c r="B292" t="s">
        <v>6</v>
      </c>
      <c r="C292" s="4">
        <v>15.215</v>
      </c>
      <c r="D292" s="8">
        <f>LOOKUP(EOMONTH(A292,0),Target_Prices!A$2:A$38,Target_Prices!D$2:D$38)</f>
        <v>16.707699999999999</v>
      </c>
      <c r="E292">
        <f t="shared" si="10"/>
        <v>6.8094068094068039E-2</v>
      </c>
      <c r="F292">
        <f t="shared" si="9"/>
        <v>9.8107131120604624E-2</v>
      </c>
    </row>
    <row r="293" spans="1:6" x14ac:dyDescent="0.35">
      <c r="A293" s="16">
        <v>44925</v>
      </c>
      <c r="B293" t="s">
        <v>6</v>
      </c>
      <c r="C293" s="3">
        <v>15.54</v>
      </c>
      <c r="D293" s="8">
        <f>LOOKUP(EOMONTH(A293,0),Target_Prices!A$2:A$38,Target_Prices!D$2:D$38)</f>
        <v>18.366700000000002</v>
      </c>
      <c r="E293">
        <f t="shared" si="10"/>
        <v>2.1360499507065311E-2</v>
      </c>
      <c r="F293">
        <f t="shared" si="9"/>
        <v>0.18189832689832708</v>
      </c>
    </row>
    <row r="294" spans="1:6" x14ac:dyDescent="0.35">
      <c r="A294" s="15">
        <v>44957</v>
      </c>
      <c r="B294" t="s">
        <v>6</v>
      </c>
      <c r="C294" s="4">
        <v>13.815</v>
      </c>
      <c r="D294" s="8">
        <f>LOOKUP(EOMONTH(A294,0),Target_Prices!A$2:A$38,Target_Prices!D$2:D$38)</f>
        <v>18.366700000000002</v>
      </c>
      <c r="E294">
        <f t="shared" si="10"/>
        <v>-0.11100386100386095</v>
      </c>
      <c r="F294">
        <f t="shared" si="9"/>
        <v>0.3294752081071301</v>
      </c>
    </row>
    <row r="295" spans="1:6" x14ac:dyDescent="0.35">
      <c r="A295" s="16">
        <v>44985</v>
      </c>
      <c r="B295" t="s">
        <v>6</v>
      </c>
      <c r="C295" s="3">
        <v>14.46</v>
      </c>
      <c r="D295" s="8">
        <f>LOOKUP(EOMONTH(A295,0),Target_Prices!A$2:A$38,Target_Prices!D$2:D$38)</f>
        <v>18.366700000000002</v>
      </c>
      <c r="E295">
        <f t="shared" si="10"/>
        <v>4.6688382193268207E-2</v>
      </c>
      <c r="F295">
        <f t="shared" si="9"/>
        <v>0.27017289073305673</v>
      </c>
    </row>
    <row r="296" spans="1:6" x14ac:dyDescent="0.35">
      <c r="A296" s="15">
        <v>45016</v>
      </c>
      <c r="B296" t="s">
        <v>6</v>
      </c>
      <c r="C296" s="4">
        <v>14.115</v>
      </c>
      <c r="D296" s="8">
        <f>LOOKUP(EOMONTH(A296,0),Target_Prices!A$2:A$38,Target_Prices!D$2:D$38)</f>
        <v>16.557099999999998</v>
      </c>
      <c r="E296">
        <f t="shared" si="10"/>
        <v>-2.3858921161825752E-2</v>
      </c>
      <c r="F296">
        <f t="shared" si="9"/>
        <v>0.17301452355650004</v>
      </c>
    </row>
    <row r="297" spans="1:6" x14ac:dyDescent="0.35">
      <c r="A297" s="16">
        <v>45044</v>
      </c>
      <c r="B297" t="s">
        <v>6</v>
      </c>
      <c r="C297" s="3">
        <v>13.53</v>
      </c>
      <c r="D297" s="8">
        <f>LOOKUP(EOMONTH(A297,0),Target_Prices!A$2:A$38,Target_Prices!D$2:D$38)</f>
        <v>16.557099999999998</v>
      </c>
      <c r="E297">
        <f t="shared" si="10"/>
        <v>-4.1445270988310412E-2</v>
      </c>
      <c r="F297">
        <f t="shared" si="9"/>
        <v>0.22373244641537318</v>
      </c>
    </row>
    <row r="298" spans="1:6" x14ac:dyDescent="0.35">
      <c r="A298" s="15">
        <v>45077</v>
      </c>
      <c r="B298" t="s">
        <v>6</v>
      </c>
      <c r="C298" s="4">
        <v>12.43</v>
      </c>
      <c r="D298" s="8">
        <f>LOOKUP(EOMONTH(A298,0),Target_Prices!A$2:A$38,Target_Prices!D$2:D$38)</f>
        <v>16.557099999999998</v>
      </c>
      <c r="E298">
        <f t="shared" si="10"/>
        <v>-8.1300813008130079E-2</v>
      </c>
      <c r="F298">
        <f t="shared" si="9"/>
        <v>0.33202735317779558</v>
      </c>
    </row>
    <row r="299" spans="1:6" x14ac:dyDescent="0.35">
      <c r="A299" s="16">
        <v>45107</v>
      </c>
      <c r="B299" t="s">
        <v>6</v>
      </c>
      <c r="C299" s="3">
        <v>12.265000000000001</v>
      </c>
      <c r="D299" s="8">
        <f>LOOKUP(EOMONTH(A299,0),Target_Prices!A$2:A$38,Target_Prices!D$2:D$38)</f>
        <v>15.4786</v>
      </c>
      <c r="E299">
        <f t="shared" si="10"/>
        <v>-1.327433628318575E-2</v>
      </c>
      <c r="F299">
        <f t="shared" si="9"/>
        <v>0.26201386057888293</v>
      </c>
    </row>
    <row r="300" spans="1:6" x14ac:dyDescent="0.35">
      <c r="A300" s="15">
        <v>45138</v>
      </c>
      <c r="B300" t="s">
        <v>6</v>
      </c>
      <c r="C300" s="4">
        <v>12.31</v>
      </c>
      <c r="D300" s="8">
        <f>LOOKUP(EOMONTH(A300,0),Target_Prices!A$2:A$38,Target_Prices!D$2:D$38)</f>
        <v>15.4786</v>
      </c>
      <c r="E300">
        <f t="shared" si="10"/>
        <v>3.6689767631472581E-3</v>
      </c>
      <c r="F300">
        <f t="shared" si="9"/>
        <v>0.25740048740861082</v>
      </c>
    </row>
    <row r="301" spans="1:6" x14ac:dyDescent="0.35">
      <c r="A301" s="16">
        <v>45169</v>
      </c>
      <c r="B301" t="s">
        <v>6</v>
      </c>
      <c r="C301" s="3">
        <v>12.4</v>
      </c>
      <c r="D301" s="8">
        <f>LOOKUP(EOMONTH(A301,0),Target_Prices!A$2:A$38,Target_Prices!D$2:D$38)</f>
        <v>15.4786</v>
      </c>
      <c r="E301">
        <f t="shared" si="10"/>
        <v>7.3111291632819153E-3</v>
      </c>
      <c r="F301">
        <f t="shared" si="9"/>
        <v>0.24827419354838706</v>
      </c>
    </row>
    <row r="302" spans="1:6" x14ac:dyDescent="0.35">
      <c r="A302" s="15">
        <v>45198</v>
      </c>
      <c r="B302" t="s">
        <v>6</v>
      </c>
      <c r="C302" s="4">
        <v>10.994999999999999</v>
      </c>
      <c r="D302" s="8">
        <f>LOOKUP(EOMONTH(A302,0),Target_Prices!A$2:A$38,Target_Prices!D$2:D$38)</f>
        <v>14.7125</v>
      </c>
      <c r="E302">
        <f t="shared" si="10"/>
        <v>-0.11330645161290331</v>
      </c>
      <c r="F302">
        <f t="shared" si="9"/>
        <v>0.33810823101409743</v>
      </c>
    </row>
    <row r="303" spans="1:6" x14ac:dyDescent="0.35">
      <c r="A303" s="16">
        <v>45230</v>
      </c>
      <c r="B303" t="s">
        <v>6</v>
      </c>
      <c r="C303" s="3">
        <v>11.2</v>
      </c>
      <c r="D303" s="8">
        <f>LOOKUP(EOMONTH(A303,0),Target_Prices!A$2:A$38,Target_Prices!D$2:D$38)</f>
        <v>14.7125</v>
      </c>
      <c r="E303">
        <f t="shared" si="10"/>
        <v>1.8644838562983157E-2</v>
      </c>
      <c r="F303">
        <f t="shared" si="9"/>
        <v>0.31361607142857156</v>
      </c>
    </row>
    <row r="304" spans="1:6" x14ac:dyDescent="0.35">
      <c r="A304" s="15">
        <v>45260</v>
      </c>
      <c r="B304" t="s">
        <v>6</v>
      </c>
      <c r="C304" s="4">
        <v>12.885</v>
      </c>
      <c r="D304" s="8">
        <f>LOOKUP(EOMONTH(A304,0),Target_Prices!A$2:A$38,Target_Prices!D$2:D$38)</f>
        <v>14.7125</v>
      </c>
      <c r="E304">
        <f t="shared" si="10"/>
        <v>0.15044642857142865</v>
      </c>
      <c r="F304">
        <f t="shared" si="9"/>
        <v>0.14183158711680252</v>
      </c>
    </row>
    <row r="305" spans="1:6" x14ac:dyDescent="0.35">
      <c r="A305" s="16">
        <v>45289</v>
      </c>
      <c r="B305" t="s">
        <v>6</v>
      </c>
      <c r="C305" s="3">
        <v>13.06</v>
      </c>
      <c r="D305" s="8">
        <f>LOOKUP(EOMONTH(A305,0),Target_Prices!A$2:A$38,Target_Prices!D$2:D$38)</f>
        <v>14.3813</v>
      </c>
      <c r="E305">
        <f t="shared" si="10"/>
        <v>1.3581684128832094E-2</v>
      </c>
      <c r="F305">
        <f t="shared" si="9"/>
        <v>0.10117151607963239</v>
      </c>
    </row>
    <row r="306" spans="1:6" x14ac:dyDescent="0.35">
      <c r="A306" s="15">
        <v>45322</v>
      </c>
      <c r="B306" t="s">
        <v>6</v>
      </c>
      <c r="C306" s="4">
        <v>12.69</v>
      </c>
      <c r="D306" s="8">
        <f>LOOKUP(EOMONTH(A306,0),Target_Prices!A$2:A$38,Target_Prices!D$2:D$38)</f>
        <v>14.3813</v>
      </c>
      <c r="E306">
        <f t="shared" si="10"/>
        <v>-2.8330781010719841E-2</v>
      </c>
      <c r="F306">
        <f t="shared" si="9"/>
        <v>0.1332781717888101</v>
      </c>
    </row>
    <row r="307" spans="1:6" x14ac:dyDescent="0.35">
      <c r="A307" s="16">
        <v>45351</v>
      </c>
      <c r="B307" t="s">
        <v>6</v>
      </c>
      <c r="C307" s="3">
        <v>11.55</v>
      </c>
      <c r="D307" s="8">
        <f>LOOKUP(EOMONTH(A307,0),Target_Prices!A$2:A$38,Target_Prices!D$2:D$38)</f>
        <v>14.3813</v>
      </c>
      <c r="E307">
        <f t="shared" si="10"/>
        <v>-8.9834515366430168E-2</v>
      </c>
      <c r="F307">
        <f t="shared" si="9"/>
        <v>0.24513419913419901</v>
      </c>
    </row>
    <row r="308" spans="1:6" x14ac:dyDescent="0.35">
      <c r="A308" s="15">
        <v>45380</v>
      </c>
      <c r="B308" t="s">
        <v>6</v>
      </c>
      <c r="C308" s="4">
        <v>11.445</v>
      </c>
      <c r="D308" s="8">
        <f>LOOKUP(EOMONTH(A308,0),Target_Prices!A$2:A$38,Target_Prices!D$2:D$38)</f>
        <v>12.923500000000001</v>
      </c>
      <c r="E308">
        <f t="shared" si="10"/>
        <v>-9.0909090909091494E-3</v>
      </c>
      <c r="F308">
        <f t="shared" si="9"/>
        <v>0.12918304936653563</v>
      </c>
    </row>
    <row r="309" spans="1:6" x14ac:dyDescent="0.35">
      <c r="A309" s="16">
        <v>45412</v>
      </c>
      <c r="B309" t="s">
        <v>6</v>
      </c>
      <c r="C309" s="3">
        <v>12.38</v>
      </c>
      <c r="D309" s="8">
        <f>LOOKUP(EOMONTH(A309,0),Target_Prices!A$2:A$38,Target_Prices!D$2:D$38)</f>
        <v>12.923500000000001</v>
      </c>
      <c r="E309">
        <f t="shared" si="10"/>
        <v>8.16950633464395E-2</v>
      </c>
      <c r="F309">
        <f t="shared" si="9"/>
        <v>4.3901453957996758E-2</v>
      </c>
    </row>
    <row r="310" spans="1:6" x14ac:dyDescent="0.35">
      <c r="A310" s="15">
        <v>45443</v>
      </c>
      <c r="B310" t="s">
        <v>6</v>
      </c>
      <c r="C310" s="4">
        <v>14.015000000000001</v>
      </c>
      <c r="D310" s="8">
        <f>LOOKUP(EOMONTH(A310,0),Target_Prices!A$2:A$38,Target_Prices!D$2:D$38)</f>
        <v>12.923500000000001</v>
      </c>
      <c r="E310">
        <f t="shared" si="10"/>
        <v>0.13206785137318255</v>
      </c>
      <c r="F310">
        <f t="shared" si="9"/>
        <v>-7.7880841955048158E-2</v>
      </c>
    </row>
    <row r="311" spans="1:6" x14ac:dyDescent="0.35">
      <c r="A311" s="16">
        <v>45471</v>
      </c>
      <c r="B311" t="s">
        <v>6</v>
      </c>
      <c r="C311" s="3">
        <v>13.65</v>
      </c>
      <c r="D311" s="8">
        <f>LOOKUP(EOMONTH(A311,0),Target_Prices!A$2:A$38,Target_Prices!D$2:D$38)</f>
        <v>13.542899999999999</v>
      </c>
      <c r="E311">
        <f t="shared" si="10"/>
        <v>-2.6043524794862716E-2</v>
      </c>
      <c r="F311">
        <f t="shared" si="9"/>
        <v>-7.8461538461539089E-3</v>
      </c>
    </row>
    <row r="312" spans="1:6" x14ac:dyDescent="0.35">
      <c r="A312" s="15">
        <v>45504</v>
      </c>
      <c r="B312" t="s">
        <v>6</v>
      </c>
      <c r="C312" s="4">
        <v>14.19</v>
      </c>
      <c r="D312" s="8">
        <f>LOOKUP(EOMONTH(A312,0),Target_Prices!A$2:A$38,Target_Prices!D$2:D$38)</f>
        <v>13.542899999999999</v>
      </c>
      <c r="E312">
        <f t="shared" si="10"/>
        <v>3.956043956043942E-2</v>
      </c>
      <c r="F312">
        <f t="shared" si="9"/>
        <v>-4.5602536997885836E-2</v>
      </c>
    </row>
    <row r="313" spans="1:6" x14ac:dyDescent="0.35">
      <c r="A313" s="16">
        <v>45534</v>
      </c>
      <c r="B313" t="s">
        <v>6</v>
      </c>
      <c r="C313" s="3">
        <v>14.46</v>
      </c>
      <c r="D313" s="8">
        <f>LOOKUP(EOMONTH(A313,0),Target_Prices!A$2:A$38,Target_Prices!D$2:D$38)</f>
        <v>13.542899999999999</v>
      </c>
      <c r="E313">
        <f t="shared" si="10"/>
        <v>1.9027484143763207E-2</v>
      </c>
      <c r="F313">
        <f t="shared" si="9"/>
        <v>-6.3423236514522918E-2</v>
      </c>
    </row>
    <row r="314" spans="1:6" x14ac:dyDescent="0.35">
      <c r="A314" s="15">
        <v>45565</v>
      </c>
      <c r="B314" t="s">
        <v>6</v>
      </c>
      <c r="C314" s="4">
        <v>14.795</v>
      </c>
      <c r="D314" s="8">
        <f>LOOKUP(EOMONTH(A314,0),Target_Prices!A$2:A$38,Target_Prices!D$2:D$38)</f>
        <v>14.65</v>
      </c>
      <c r="E314">
        <f t="shared" si="10"/>
        <v>2.3167358229598811E-2</v>
      </c>
      <c r="F314">
        <f t="shared" si="9"/>
        <v>-9.8006083136194366E-3</v>
      </c>
    </row>
    <row r="315" spans="1:6" x14ac:dyDescent="0.35">
      <c r="A315" s="16">
        <v>45596</v>
      </c>
      <c r="B315" t="s">
        <v>6</v>
      </c>
      <c r="C315" s="3">
        <v>13.53</v>
      </c>
      <c r="D315" s="8">
        <f>LOOKUP(EOMONTH(A315,0),Target_Prices!A$2:A$38,Target_Prices!D$2:D$38)</f>
        <v>14.65</v>
      </c>
      <c r="E315">
        <f t="shared" si="10"/>
        <v>-8.5501858736059533E-2</v>
      </c>
      <c r="F315">
        <f t="shared" si="9"/>
        <v>8.2779009608277984E-2</v>
      </c>
    </row>
    <row r="316" spans="1:6" x14ac:dyDescent="0.35">
      <c r="A316" s="15">
        <v>45625</v>
      </c>
      <c r="B316" t="s">
        <v>6</v>
      </c>
      <c r="C316" s="4">
        <v>14.265000000000001</v>
      </c>
      <c r="D316" s="8">
        <f>LOOKUP(EOMONTH(A316,0),Target_Prices!A$2:A$38,Target_Prices!D$2:D$38)</f>
        <v>14.65</v>
      </c>
      <c r="E316">
        <f t="shared" si="10"/>
        <v>5.4323725055432481E-2</v>
      </c>
      <c r="F316">
        <f t="shared" si="9"/>
        <v>2.6989134244654732E-2</v>
      </c>
    </row>
    <row r="317" spans="1:6" x14ac:dyDescent="0.35">
      <c r="A317" s="16">
        <v>45657</v>
      </c>
      <c r="B317" t="s">
        <v>6</v>
      </c>
      <c r="C317" s="3">
        <v>13.515000000000001</v>
      </c>
      <c r="D317" s="8">
        <f>LOOKUP(EOMONTH(A317,0),Target_Prices!A$2:A$38,Target_Prices!D$2:D$38)</f>
        <v>14.4133</v>
      </c>
      <c r="E317">
        <f t="shared" si="10"/>
        <v>-5.2576235541535232E-2</v>
      </c>
      <c r="F317">
        <f t="shared" si="9"/>
        <v>6.6466888642249269E-2</v>
      </c>
    </row>
    <row r="318" spans="1:6" x14ac:dyDescent="0.35">
      <c r="A318" s="15">
        <v>45688</v>
      </c>
      <c r="B318" t="s">
        <v>6</v>
      </c>
      <c r="C318" s="4">
        <v>14</v>
      </c>
      <c r="D318" s="8">
        <f>LOOKUP(EOMONTH(A318,0),Target_Prices!A$2:A$38,Target_Prices!D$2:D$38)</f>
        <v>14.4133</v>
      </c>
      <c r="E318">
        <f t="shared" si="10"/>
        <v>3.588605253422128E-2</v>
      </c>
      <c r="F318">
        <f t="shared" si="9"/>
        <v>2.9521428571428539E-2</v>
      </c>
    </row>
    <row r="319" spans="1:6" x14ac:dyDescent="0.35">
      <c r="A319" s="16">
        <v>45716</v>
      </c>
      <c r="B319" t="s">
        <v>6</v>
      </c>
      <c r="C319" s="3">
        <v>15.095000000000001</v>
      </c>
      <c r="D319" s="8">
        <f>LOOKUP(EOMONTH(A319,0),Target_Prices!A$2:A$38,Target_Prices!D$2:D$38)</f>
        <v>14.4133</v>
      </c>
      <c r="E319">
        <f t="shared" si="10"/>
        <v>7.8214285714285792E-2</v>
      </c>
      <c r="F319">
        <f t="shared" si="9"/>
        <v>-4.5160649221596627E-2</v>
      </c>
    </row>
    <row r="320" spans="1:6" x14ac:dyDescent="0.35">
      <c r="A320" s="15">
        <v>45747</v>
      </c>
      <c r="B320" t="s">
        <v>6</v>
      </c>
      <c r="C320" s="4">
        <v>15.11</v>
      </c>
      <c r="D320" s="8">
        <f>LOOKUP(EOMONTH(A320,0),Target_Prices!A$2:A$38,Target_Prices!D$2:D$38)</f>
        <v>13.8118</v>
      </c>
      <c r="E320">
        <f t="shared" si="10"/>
        <v>9.9370652533936621E-4</v>
      </c>
      <c r="F320">
        <f t="shared" si="9"/>
        <v>-8.5916611515552591E-2</v>
      </c>
    </row>
    <row r="321" spans="1:6" x14ac:dyDescent="0.35">
      <c r="A321" s="16">
        <v>45777</v>
      </c>
      <c r="B321" t="s">
        <v>6</v>
      </c>
      <c r="C321" s="3">
        <v>14.744999999999999</v>
      </c>
      <c r="D321" s="8">
        <f>LOOKUP(EOMONTH(A321,0),Target_Prices!A$2:A$38,Target_Prices!D$2:D$38)</f>
        <v>13.8118</v>
      </c>
      <c r="E321">
        <f t="shared" si="10"/>
        <v>-2.4156187954996744E-2</v>
      </c>
      <c r="F321">
        <f t="shared" si="9"/>
        <v>-6.3289250593421456E-2</v>
      </c>
    </row>
    <row r="322" spans="1:6" x14ac:dyDescent="0.35">
      <c r="A322" s="15">
        <v>45807</v>
      </c>
      <c r="B322" t="s">
        <v>6</v>
      </c>
      <c r="C322" s="4">
        <v>15.2</v>
      </c>
      <c r="D322" s="8">
        <f>LOOKUP(EOMONTH(A322,0),Target_Prices!A$2:A$38,Target_Prices!D$2:D$38)</f>
        <v>13.8118</v>
      </c>
      <c r="E322">
        <f t="shared" si="10"/>
        <v>3.0857917938284185E-2</v>
      </c>
      <c r="F322">
        <f t="shared" si="9"/>
        <v>-9.1328947368421023E-2</v>
      </c>
    </row>
    <row r="323" spans="1:6" x14ac:dyDescent="0.35">
      <c r="A323" s="16">
        <v>45838</v>
      </c>
      <c r="B323" t="s">
        <v>6</v>
      </c>
      <c r="C323" s="3">
        <v>15.89</v>
      </c>
      <c r="D323" s="8">
        <f>LOOKUP(EOMONTH(A323,0),Target_Prices!A$2:A$38,Target_Prices!D$2:D$38)</f>
        <v>13.7</v>
      </c>
      <c r="E323">
        <f t="shared" si="10"/>
        <v>4.5394736842105265E-2</v>
      </c>
      <c r="F323">
        <f t="shared" ref="F323:F386" si="11">(D323-C323)/C323</f>
        <v>-0.13782252989301455</v>
      </c>
    </row>
    <row r="324" spans="1:6" x14ac:dyDescent="0.35">
      <c r="A324" s="15">
        <v>45869</v>
      </c>
      <c r="B324" t="s">
        <v>6</v>
      </c>
      <c r="C324" s="4">
        <v>16.09</v>
      </c>
      <c r="D324" s="8">
        <f>LOOKUP(EOMONTH(A324,0),Target_Prices!A$2:A$38,Target_Prices!D$2:D$38)</f>
        <v>13.7</v>
      </c>
      <c r="E324">
        <f t="shared" si="10"/>
        <v>1.2586532410320928E-2</v>
      </c>
      <c r="F324">
        <f t="shared" si="11"/>
        <v>-0.14853946550652583</v>
      </c>
    </row>
    <row r="325" spans="1:6" x14ac:dyDescent="0.35">
      <c r="A325" s="16">
        <v>45898</v>
      </c>
      <c r="B325" t="s">
        <v>6</v>
      </c>
      <c r="C325" s="3">
        <v>14.79</v>
      </c>
      <c r="D325" s="8">
        <f>LOOKUP(EOMONTH(A325,0),Target_Prices!A$2:A$38,Target_Prices!D$2:D$38)</f>
        <v>13.7</v>
      </c>
      <c r="E325">
        <f t="shared" si="10"/>
        <v>-8.0795525170913707E-2</v>
      </c>
      <c r="F325">
        <f t="shared" si="11"/>
        <v>-7.3698444895199458E-2</v>
      </c>
    </row>
    <row r="326" spans="1:6" x14ac:dyDescent="0.35">
      <c r="A326" s="15">
        <v>45930</v>
      </c>
      <c r="B326" t="s">
        <v>6</v>
      </c>
      <c r="C326" s="4">
        <v>16.105</v>
      </c>
      <c r="D326" s="8">
        <f>LOOKUP(EOMONTH(A326,0),Target_Prices!A$2:A$38,Target_Prices!D$2:D$38)</f>
        <v>14.073700000000001</v>
      </c>
      <c r="E326">
        <f t="shared" si="10"/>
        <v>8.8911426639621371E-2</v>
      </c>
      <c r="F326">
        <f t="shared" si="11"/>
        <v>-0.1261285315119528</v>
      </c>
    </row>
    <row r="327" spans="1:6" x14ac:dyDescent="0.35">
      <c r="A327" s="16">
        <v>45961</v>
      </c>
      <c r="B327" t="s">
        <v>6</v>
      </c>
      <c r="C327" s="3">
        <v>19.34</v>
      </c>
      <c r="D327" s="8">
        <f>LOOKUP(EOMONTH(A327,0),Target_Prices!A$2:A$38,Target_Prices!D$2:D$38)</f>
        <v>14.073700000000001</v>
      </c>
      <c r="E327">
        <f t="shared" si="10"/>
        <v>0.20086929524992225</v>
      </c>
      <c r="F327">
        <f t="shared" si="11"/>
        <v>-0.272300930713547</v>
      </c>
    </row>
    <row r="328" spans="1:6" x14ac:dyDescent="0.35">
      <c r="A328" s="15">
        <v>45989</v>
      </c>
      <c r="B328" t="s">
        <v>6</v>
      </c>
      <c r="C328" s="4">
        <v>17.695</v>
      </c>
      <c r="D328" s="8">
        <f>LOOKUP(EOMONTH(A328,0),Target_Prices!A$2:A$38,Target_Prices!D$2:D$38)</f>
        <v>14.073700000000001</v>
      </c>
      <c r="E328">
        <f t="shared" si="10"/>
        <v>-8.5056876938986559E-2</v>
      </c>
      <c r="F328">
        <f t="shared" si="11"/>
        <v>-0.20465103136479229</v>
      </c>
    </row>
    <row r="329" spans="1:6" x14ac:dyDescent="0.35">
      <c r="A329" s="16">
        <v>46022</v>
      </c>
      <c r="B329" t="s">
        <v>6</v>
      </c>
      <c r="C329" s="3">
        <v>18.18</v>
      </c>
      <c r="D329" s="8">
        <f>LOOKUP(EOMONTH(A329,0),Target_Prices!A$2:A$38,Target_Prices!D$2:D$38)</f>
        <v>15.742900000000001</v>
      </c>
      <c r="E329">
        <f t="shared" si="10"/>
        <v>2.7408872562870945E-2</v>
      </c>
      <c r="F329">
        <f t="shared" si="11"/>
        <v>-0.13405390539053902</v>
      </c>
    </row>
    <row r="330" spans="1:6" x14ac:dyDescent="0.35">
      <c r="A330" s="15">
        <v>46052</v>
      </c>
      <c r="B330" t="s">
        <v>6</v>
      </c>
      <c r="C330" s="4">
        <v>19.914999999999999</v>
      </c>
      <c r="D330" s="8">
        <f>LOOKUP(EOMONTH(A330,0),Target_Prices!A$2:A$38,Target_Prices!D$2:D$38)</f>
        <v>15.742900000000001</v>
      </c>
      <c r="E330">
        <f t="shared" si="10"/>
        <v>9.5434543454345322E-2</v>
      </c>
      <c r="F330">
        <f t="shared" si="11"/>
        <v>-0.20949535525985433</v>
      </c>
    </row>
    <row r="331" spans="1:6" s="11" customFormat="1" x14ac:dyDescent="0.35">
      <c r="A331" s="15">
        <v>46080</v>
      </c>
      <c r="B331" s="11" t="s">
        <v>6</v>
      </c>
      <c r="C331" s="3">
        <v>19.809999999999999</v>
      </c>
      <c r="D331" s="8">
        <f>LOOKUP(EOMONTH(A331,0),Target_Prices!A$2:A$38,Target_Prices!D$2:D$38)</f>
        <v>15.742900000000001</v>
      </c>
      <c r="E331">
        <f t="shared" si="10"/>
        <v>-5.2724077328647478E-3</v>
      </c>
      <c r="F331">
        <f t="shared" si="11"/>
        <v>-0.20530540131246838</v>
      </c>
    </row>
    <row r="332" spans="1:6" x14ac:dyDescent="0.35">
      <c r="A332" s="15">
        <v>42766</v>
      </c>
      <c r="B332" t="s">
        <v>7</v>
      </c>
      <c r="C332" s="4">
        <v>10.753322000000001</v>
      </c>
      <c r="D332" s="8">
        <f>LOOKUP(EOMONTH(A332,0),Target_Prices!A$2:A$38,Target_Prices!E$2:E$38)</f>
        <v>12.463699999999999</v>
      </c>
      <c r="F332">
        <f t="shared" si="11"/>
        <v>0.15905577829809231</v>
      </c>
    </row>
    <row r="333" spans="1:6" x14ac:dyDescent="0.35">
      <c r="A333" s="16">
        <v>42794</v>
      </c>
      <c r="B333" t="s">
        <v>7</v>
      </c>
      <c r="C333" s="3">
        <v>10.959989</v>
      </c>
      <c r="D333" s="8">
        <f>LOOKUP(EOMONTH(A333,0),Target_Prices!A$2:A$38,Target_Prices!E$2:E$38)</f>
        <v>12.463699999999999</v>
      </c>
      <c r="E333">
        <f>(C333/C332)-1</f>
        <v>1.9218898122831174E-2</v>
      </c>
      <c r="F333">
        <f t="shared" si="11"/>
        <v>0.13720004645990055</v>
      </c>
    </row>
    <row r="334" spans="1:6" x14ac:dyDescent="0.35">
      <c r="A334" s="15">
        <v>42825</v>
      </c>
      <c r="B334" t="s">
        <v>7</v>
      </c>
      <c r="C334" s="4">
        <v>12.186654000000001</v>
      </c>
      <c r="D334" s="8">
        <f>LOOKUP(EOMONTH(A334,0),Target_Prices!A$2:A$38,Target_Prices!E$2:E$38)</f>
        <v>11.2683</v>
      </c>
      <c r="E334">
        <f t="shared" ref="E334:E397" si="12">(C334/C333)-1</f>
        <v>0.11192210138167114</v>
      </c>
      <c r="F334">
        <f t="shared" si="11"/>
        <v>-7.5357354036637181E-2</v>
      </c>
    </row>
    <row r="335" spans="1:6" x14ac:dyDescent="0.35">
      <c r="A335" s="16">
        <v>42853</v>
      </c>
      <c r="B335" t="s">
        <v>7</v>
      </c>
      <c r="C335" s="3">
        <v>12.4966545</v>
      </c>
      <c r="D335" s="8">
        <f>LOOKUP(EOMONTH(A335,0),Target_Prices!A$2:A$38,Target_Prices!E$2:E$38)</f>
        <v>11.2683</v>
      </c>
      <c r="E335">
        <f t="shared" si="12"/>
        <v>2.5437704229561264E-2</v>
      </c>
      <c r="F335">
        <f t="shared" si="11"/>
        <v>-9.8294667584832407E-2</v>
      </c>
    </row>
    <row r="336" spans="1:6" x14ac:dyDescent="0.35">
      <c r="A336" s="15">
        <v>42886</v>
      </c>
      <c r="B336" t="s">
        <v>7</v>
      </c>
      <c r="C336" s="4">
        <v>11.796654</v>
      </c>
      <c r="D336" s="8">
        <f>LOOKUP(EOMONTH(A336,0),Target_Prices!A$2:A$38,Target_Prices!E$2:E$38)</f>
        <v>11.2683</v>
      </c>
      <c r="E336">
        <f t="shared" si="12"/>
        <v>-5.601503186312784E-2</v>
      </c>
      <c r="F336">
        <f t="shared" si="11"/>
        <v>-4.4788462898038735E-2</v>
      </c>
    </row>
    <row r="337" spans="1:6" x14ac:dyDescent="0.35">
      <c r="A337" s="16">
        <v>42916</v>
      </c>
      <c r="B337" t="s">
        <v>7</v>
      </c>
      <c r="C337" s="3">
        <v>11.496655000000001</v>
      </c>
      <c r="D337" s="8">
        <f>LOOKUP(EOMONTH(A337,0),Target_Prices!A$2:A$38,Target_Prices!E$2:E$38)</f>
        <v>11.578900000000001</v>
      </c>
      <c r="E337">
        <f t="shared" si="12"/>
        <v>-2.543085522386257E-2</v>
      </c>
      <c r="F337">
        <f t="shared" si="11"/>
        <v>7.1538199589359112E-3</v>
      </c>
    </row>
    <row r="338" spans="1:6" x14ac:dyDescent="0.35">
      <c r="A338" s="15">
        <v>42947</v>
      </c>
      <c r="B338" t="s">
        <v>7</v>
      </c>
      <c r="C338" s="4">
        <v>12.209987999999999</v>
      </c>
      <c r="D338" s="8">
        <f>LOOKUP(EOMONTH(A338,0),Target_Prices!A$2:A$38,Target_Prices!E$2:E$38)</f>
        <v>11.578900000000001</v>
      </c>
      <c r="E338">
        <f t="shared" si="12"/>
        <v>6.2047004106846604E-2</v>
      </c>
      <c r="F338">
        <f t="shared" si="11"/>
        <v>-5.1686209683416424E-2</v>
      </c>
    </row>
    <row r="339" spans="1:6" x14ac:dyDescent="0.35">
      <c r="A339" s="16">
        <v>42978</v>
      </c>
      <c r="B339" t="s">
        <v>7</v>
      </c>
      <c r="C339" s="3">
        <v>12.346653999999999</v>
      </c>
      <c r="D339" s="8">
        <f>LOOKUP(EOMONTH(A339,0),Target_Prices!A$2:A$38,Target_Prices!E$2:E$38)</f>
        <v>11.578900000000001</v>
      </c>
      <c r="E339">
        <f t="shared" si="12"/>
        <v>1.1192967593416148E-2</v>
      </c>
      <c r="F339">
        <f t="shared" si="11"/>
        <v>-6.2183163146873506E-2</v>
      </c>
    </row>
    <row r="340" spans="1:6" x14ac:dyDescent="0.35">
      <c r="A340" s="15">
        <v>43007</v>
      </c>
      <c r="B340" t="s">
        <v>7</v>
      </c>
      <c r="C340" s="4">
        <v>12.316654</v>
      </c>
      <c r="D340" s="8">
        <f>LOOKUP(EOMONTH(A340,0),Target_Prices!A$2:A$38,Target_Prices!E$2:E$38)</f>
        <v>11.8066</v>
      </c>
      <c r="E340">
        <f t="shared" si="12"/>
        <v>-2.4298081083343748E-3</v>
      </c>
      <c r="F340">
        <f t="shared" si="11"/>
        <v>-4.1411734063488366E-2</v>
      </c>
    </row>
    <row r="341" spans="1:6" x14ac:dyDescent="0.35">
      <c r="A341" s="16">
        <v>43039</v>
      </c>
      <c r="B341" t="s">
        <v>7</v>
      </c>
      <c r="C341" s="3">
        <v>15.943317</v>
      </c>
      <c r="D341" s="8">
        <f>LOOKUP(EOMONTH(A341,0),Target_Prices!A$2:A$38,Target_Prices!E$2:E$38)</f>
        <v>11.8066</v>
      </c>
      <c r="E341">
        <f t="shared" si="12"/>
        <v>0.29445196723071065</v>
      </c>
      <c r="F341">
        <f t="shared" si="11"/>
        <v>-0.25946401241347711</v>
      </c>
    </row>
    <row r="342" spans="1:6" x14ac:dyDescent="0.35">
      <c r="A342" s="15">
        <v>43069</v>
      </c>
      <c r="B342" t="s">
        <v>7</v>
      </c>
      <c r="C342" s="4">
        <v>17.399982000000001</v>
      </c>
      <c r="D342" s="8">
        <f>LOOKUP(EOMONTH(A342,0),Target_Prices!A$2:A$38,Target_Prices!E$2:E$38)</f>
        <v>11.8066</v>
      </c>
      <c r="E342">
        <f t="shared" si="12"/>
        <v>9.1365240997215436E-2</v>
      </c>
      <c r="F342">
        <f t="shared" si="11"/>
        <v>-0.32145906817604764</v>
      </c>
    </row>
    <row r="343" spans="1:6" x14ac:dyDescent="0.35">
      <c r="A343" s="16">
        <v>43098</v>
      </c>
      <c r="B343" t="s">
        <v>7</v>
      </c>
      <c r="C343" s="3">
        <v>17.783314000000001</v>
      </c>
      <c r="D343" s="8">
        <f>LOOKUP(EOMONTH(A343,0),Target_Prices!A$2:A$38,Target_Prices!E$2:E$38)</f>
        <v>15.287699999999999</v>
      </c>
      <c r="E343">
        <f t="shared" si="12"/>
        <v>2.2030597502916915E-2</v>
      </c>
      <c r="F343">
        <f t="shared" si="11"/>
        <v>-0.14033458555587566</v>
      </c>
    </row>
    <row r="344" spans="1:6" x14ac:dyDescent="0.35">
      <c r="A344" s="15">
        <v>43131</v>
      </c>
      <c r="B344" t="s">
        <v>7</v>
      </c>
      <c r="C344" s="4">
        <v>18.559979999999999</v>
      </c>
      <c r="D344" s="8">
        <f>LOOKUP(EOMONTH(A344,0),Target_Prices!A$2:A$38,Target_Prices!E$2:E$38)</f>
        <v>15.287699999999999</v>
      </c>
      <c r="E344">
        <f t="shared" si="12"/>
        <v>4.3673861913476886E-2</v>
      </c>
      <c r="F344">
        <f t="shared" si="11"/>
        <v>-0.1763083796426505</v>
      </c>
    </row>
    <row r="345" spans="1:6" x14ac:dyDescent="0.35">
      <c r="A345" s="16">
        <v>43159</v>
      </c>
      <c r="B345" t="s">
        <v>7</v>
      </c>
      <c r="C345" s="3">
        <v>20.079979000000002</v>
      </c>
      <c r="D345" s="8">
        <f>LOOKUP(EOMONTH(A345,0),Target_Prices!A$2:A$38,Target_Prices!E$2:E$38)</f>
        <v>15.287699999999999</v>
      </c>
      <c r="E345">
        <f t="shared" si="12"/>
        <v>8.1896586095459245E-2</v>
      </c>
      <c r="F345">
        <f t="shared" si="11"/>
        <v>-0.2386595623431679</v>
      </c>
    </row>
    <row r="346" spans="1:6" x14ac:dyDescent="0.35">
      <c r="A346" s="15">
        <v>43189</v>
      </c>
      <c r="B346" t="s">
        <v>7</v>
      </c>
      <c r="C346" s="4">
        <v>18.866645999999999</v>
      </c>
      <c r="D346" s="8">
        <f>LOOKUP(EOMONTH(A346,0),Target_Prices!A$2:A$38,Target_Prices!E$2:E$38)</f>
        <v>17.8916</v>
      </c>
      <c r="E346">
        <f t="shared" si="12"/>
        <v>-6.042501339269335E-2</v>
      </c>
      <c r="F346">
        <f t="shared" si="11"/>
        <v>-5.1680940003856486E-2</v>
      </c>
    </row>
    <row r="347" spans="1:6" x14ac:dyDescent="0.35">
      <c r="A347" s="16">
        <v>43220</v>
      </c>
      <c r="B347" t="s">
        <v>7</v>
      </c>
      <c r="C347" s="3">
        <v>23.299976000000001</v>
      </c>
      <c r="D347" s="8">
        <f>LOOKUP(EOMONTH(A347,0),Target_Prices!A$2:A$38,Target_Prices!E$2:E$38)</f>
        <v>17.8916</v>
      </c>
      <c r="E347">
        <f t="shared" si="12"/>
        <v>0.2349824128782616</v>
      </c>
      <c r="F347">
        <f t="shared" si="11"/>
        <v>-0.23211938072382565</v>
      </c>
    </row>
    <row r="348" spans="1:6" x14ac:dyDescent="0.35">
      <c r="A348" s="15">
        <v>43251</v>
      </c>
      <c r="B348" t="s">
        <v>7</v>
      </c>
      <c r="C348" s="4">
        <v>23.206644000000001</v>
      </c>
      <c r="D348" s="8">
        <f>LOOKUP(EOMONTH(A348,0),Target_Prices!A$2:A$38,Target_Prices!E$2:E$38)</f>
        <v>17.8916</v>
      </c>
      <c r="E348">
        <f t="shared" si="12"/>
        <v>-4.0056693620629247E-3</v>
      </c>
      <c r="F348">
        <f t="shared" si="11"/>
        <v>-0.22903113435962563</v>
      </c>
    </row>
    <row r="349" spans="1:6" x14ac:dyDescent="0.35">
      <c r="A349" s="16">
        <v>43280</v>
      </c>
      <c r="B349" t="s">
        <v>7</v>
      </c>
      <c r="C349" s="3">
        <v>22.399975000000001</v>
      </c>
      <c r="D349" s="8">
        <f>LOOKUP(EOMONTH(A349,0),Target_Prices!A$2:A$38,Target_Prices!E$2:E$38)</f>
        <v>20.6648</v>
      </c>
      <c r="E349">
        <f t="shared" si="12"/>
        <v>-3.4760260897698014E-2</v>
      </c>
      <c r="F349">
        <f t="shared" si="11"/>
        <v>-7.7463256097384109E-2</v>
      </c>
    </row>
    <row r="350" spans="1:6" x14ac:dyDescent="0.35">
      <c r="A350" s="15">
        <v>43312</v>
      </c>
      <c r="B350" t="s">
        <v>7</v>
      </c>
      <c r="C350" s="4">
        <v>23.539975999999999</v>
      </c>
      <c r="D350" s="8">
        <f>LOOKUP(EOMONTH(A350,0),Target_Prices!A$2:A$38,Target_Prices!E$2:E$38)</f>
        <v>20.6648</v>
      </c>
      <c r="E350">
        <f t="shared" si="12"/>
        <v>5.0892958585891268E-2</v>
      </c>
      <c r="F350">
        <f t="shared" si="11"/>
        <v>-0.12214014151926067</v>
      </c>
    </row>
    <row r="351" spans="1:6" x14ac:dyDescent="0.35">
      <c r="A351" s="16">
        <v>43343</v>
      </c>
      <c r="B351" t="s">
        <v>7</v>
      </c>
      <c r="C351" s="3">
        <v>24.933308</v>
      </c>
      <c r="D351" s="8">
        <f>LOOKUP(EOMONTH(A351,0),Target_Prices!A$2:A$38,Target_Prices!E$2:E$38)</f>
        <v>20.6648</v>
      </c>
      <c r="E351">
        <f t="shared" si="12"/>
        <v>5.9190034858149332E-2</v>
      </c>
      <c r="F351">
        <f t="shared" si="11"/>
        <v>-0.17119701886328123</v>
      </c>
    </row>
    <row r="352" spans="1:6" x14ac:dyDescent="0.35">
      <c r="A352" s="15">
        <v>43371</v>
      </c>
      <c r="B352" t="s">
        <v>7</v>
      </c>
      <c r="C352" s="4">
        <v>23.733307</v>
      </c>
      <c r="D352" s="8">
        <f>LOOKUP(EOMONTH(A352,0),Target_Prices!A$2:A$38,Target_Prices!E$2:E$38)</f>
        <v>22.754300000000001</v>
      </c>
      <c r="E352">
        <f t="shared" si="12"/>
        <v>-4.8128431253486315E-2</v>
      </c>
      <c r="F352">
        <f t="shared" si="11"/>
        <v>-4.125034071315891E-2</v>
      </c>
    </row>
    <row r="353" spans="1:6" x14ac:dyDescent="0.35">
      <c r="A353" s="16">
        <v>43404</v>
      </c>
      <c r="B353" t="s">
        <v>7</v>
      </c>
      <c r="C353" s="3">
        <v>24.253309999999999</v>
      </c>
      <c r="D353" s="8">
        <f>LOOKUP(EOMONTH(A353,0),Target_Prices!A$2:A$38,Target_Prices!E$2:E$38)</f>
        <v>22.754300000000001</v>
      </c>
      <c r="E353">
        <f t="shared" si="12"/>
        <v>2.1910263074589542E-2</v>
      </c>
      <c r="F353">
        <f t="shared" si="11"/>
        <v>-6.1806409104571643E-2</v>
      </c>
    </row>
    <row r="354" spans="1:6" x14ac:dyDescent="0.35">
      <c r="A354" s="15">
        <v>43434</v>
      </c>
      <c r="B354" t="s">
        <v>7</v>
      </c>
      <c r="C354" s="4">
        <v>23.006640999999998</v>
      </c>
      <c r="D354" s="8">
        <f>LOOKUP(EOMONTH(A354,0),Target_Prices!A$2:A$38,Target_Prices!E$2:E$38)</f>
        <v>22.754300000000001</v>
      </c>
      <c r="E354">
        <f t="shared" si="12"/>
        <v>-5.1402014817771291E-2</v>
      </c>
      <c r="F354">
        <f t="shared" si="11"/>
        <v>-1.0968180883076226E-2</v>
      </c>
    </row>
    <row r="355" spans="1:6" x14ac:dyDescent="0.35">
      <c r="A355" s="16">
        <v>43465</v>
      </c>
      <c r="B355" t="s">
        <v>7</v>
      </c>
      <c r="C355" s="3">
        <v>22.453309999999998</v>
      </c>
      <c r="D355" s="8">
        <f>LOOKUP(EOMONTH(A355,0),Target_Prices!A$2:A$38,Target_Prices!E$2:E$38)</f>
        <v>25.312200000000001</v>
      </c>
      <c r="E355">
        <f t="shared" si="12"/>
        <v>-2.4050925122011457E-2</v>
      </c>
      <c r="F355">
        <f t="shared" si="11"/>
        <v>0.12732599336133527</v>
      </c>
    </row>
    <row r="356" spans="1:6" x14ac:dyDescent="0.35">
      <c r="A356" s="15">
        <v>43496</v>
      </c>
      <c r="B356" t="s">
        <v>7</v>
      </c>
      <c r="C356" s="4">
        <v>26.713304999999998</v>
      </c>
      <c r="D356" s="8">
        <f>LOOKUP(EOMONTH(A356,0),Target_Prices!A$2:A$38,Target_Prices!E$2:E$38)</f>
        <v>25.312200000000001</v>
      </c>
      <c r="E356">
        <f t="shared" si="12"/>
        <v>0.18972681533368574</v>
      </c>
      <c r="F356">
        <f t="shared" si="11"/>
        <v>-5.2449706241889486E-2</v>
      </c>
    </row>
    <row r="357" spans="1:6" x14ac:dyDescent="0.35">
      <c r="A357" s="16">
        <v>43524</v>
      </c>
      <c r="B357" t="s">
        <v>7</v>
      </c>
      <c r="C357" s="3">
        <v>28.166637000000001</v>
      </c>
      <c r="D357" s="8">
        <f>LOOKUP(EOMONTH(A357,0),Target_Prices!A$2:A$38,Target_Prices!E$2:E$38)</f>
        <v>25.312200000000001</v>
      </c>
      <c r="E357">
        <f t="shared" si="12"/>
        <v>5.4404799406138737E-2</v>
      </c>
      <c r="F357">
        <f t="shared" si="11"/>
        <v>-0.10134106531780847</v>
      </c>
    </row>
    <row r="358" spans="1:6" x14ac:dyDescent="0.35">
      <c r="A358" s="15">
        <v>43553</v>
      </c>
      <c r="B358" t="s">
        <v>7</v>
      </c>
      <c r="C358" s="4">
        <v>31.666633999999998</v>
      </c>
      <c r="D358" s="8">
        <f>LOOKUP(EOMONTH(A358,0),Target_Prices!A$2:A$38,Target_Prices!E$2:E$38)</f>
        <v>30.658300000000001</v>
      </c>
      <c r="E358">
        <f t="shared" si="12"/>
        <v>0.12426037939850598</v>
      </c>
      <c r="F358">
        <f t="shared" si="11"/>
        <v>-3.1842159163490438E-2</v>
      </c>
    </row>
    <row r="359" spans="1:6" x14ac:dyDescent="0.35">
      <c r="A359" s="16">
        <v>43585</v>
      </c>
      <c r="B359" t="s">
        <v>7</v>
      </c>
      <c r="C359" s="3">
        <v>29.44</v>
      </c>
      <c r="D359" s="8">
        <f>LOOKUP(EOMONTH(A359,0),Target_Prices!A$2:A$38,Target_Prices!E$2:E$38)</f>
        <v>30.658300000000001</v>
      </c>
      <c r="E359">
        <f t="shared" si="12"/>
        <v>-7.0314830430035502E-2</v>
      </c>
      <c r="F359">
        <f t="shared" si="11"/>
        <v>4.1382472826086932E-2</v>
      </c>
    </row>
    <row r="360" spans="1:6" x14ac:dyDescent="0.35">
      <c r="A360" s="15">
        <v>43616</v>
      </c>
      <c r="B360" t="s">
        <v>7</v>
      </c>
      <c r="C360" s="4">
        <v>30.26</v>
      </c>
      <c r="D360" s="8">
        <f>LOOKUP(EOMONTH(A360,0),Target_Prices!A$2:A$38,Target_Prices!E$2:E$38)</f>
        <v>30.658300000000001</v>
      </c>
      <c r="E360">
        <f t="shared" si="12"/>
        <v>2.7853260869565188E-2</v>
      </c>
      <c r="F360">
        <f t="shared" si="11"/>
        <v>1.3162590879048214E-2</v>
      </c>
    </row>
    <row r="361" spans="1:6" x14ac:dyDescent="0.35">
      <c r="A361" s="16">
        <v>43644</v>
      </c>
      <c r="B361" t="s">
        <v>7</v>
      </c>
      <c r="C361" s="3">
        <v>29.84</v>
      </c>
      <c r="D361" s="8">
        <f>LOOKUP(EOMONTH(A361,0),Target_Prices!A$2:A$38,Target_Prices!E$2:E$38)</f>
        <v>34.2485</v>
      </c>
      <c r="E361">
        <f t="shared" si="12"/>
        <v>-1.3879709187045619E-2</v>
      </c>
      <c r="F361">
        <f t="shared" si="11"/>
        <v>0.14773793565683646</v>
      </c>
    </row>
    <row r="362" spans="1:6" x14ac:dyDescent="0.35">
      <c r="A362" s="15">
        <v>43677</v>
      </c>
      <c r="B362" t="s">
        <v>7</v>
      </c>
      <c r="C362" s="4">
        <v>29.99</v>
      </c>
      <c r="D362" s="8">
        <f>LOOKUP(EOMONTH(A362,0),Target_Prices!A$2:A$38,Target_Prices!E$2:E$38)</f>
        <v>34.2485</v>
      </c>
      <c r="E362">
        <f t="shared" si="12"/>
        <v>5.0268096514745064E-3</v>
      </c>
      <c r="F362">
        <f t="shared" si="11"/>
        <v>0.14199733244414811</v>
      </c>
    </row>
    <row r="363" spans="1:6" x14ac:dyDescent="0.35">
      <c r="A363" s="16">
        <v>43707</v>
      </c>
      <c r="B363" t="s">
        <v>7</v>
      </c>
      <c r="C363" s="3">
        <v>28.64</v>
      </c>
      <c r="D363" s="8">
        <f>LOOKUP(EOMONTH(A363,0),Target_Prices!A$2:A$38,Target_Prices!E$2:E$38)</f>
        <v>34.2485</v>
      </c>
      <c r="E363">
        <f t="shared" si="12"/>
        <v>-4.5015005001667108E-2</v>
      </c>
      <c r="F363">
        <f t="shared" si="11"/>
        <v>0.19582751396648043</v>
      </c>
    </row>
    <row r="364" spans="1:6" x14ac:dyDescent="0.35">
      <c r="A364" s="15">
        <v>43738</v>
      </c>
      <c r="B364" t="s">
        <v>7</v>
      </c>
      <c r="C364" s="4">
        <v>30.37</v>
      </c>
      <c r="D364" s="8">
        <f>LOOKUP(EOMONTH(A364,0),Target_Prices!A$2:A$38,Target_Prices!E$2:E$38)</f>
        <v>34.073700000000002</v>
      </c>
      <c r="E364">
        <f t="shared" si="12"/>
        <v>6.0405027932960875E-2</v>
      </c>
      <c r="F364">
        <f t="shared" si="11"/>
        <v>0.1219525847876194</v>
      </c>
    </row>
    <row r="365" spans="1:6" x14ac:dyDescent="0.35">
      <c r="A365" s="16">
        <v>43769</v>
      </c>
      <c r="B365" t="s">
        <v>7</v>
      </c>
      <c r="C365" s="3">
        <v>32.36</v>
      </c>
      <c r="D365" s="8">
        <f>LOOKUP(EOMONTH(A365,0),Target_Prices!A$2:A$38,Target_Prices!E$2:E$38)</f>
        <v>34.073700000000002</v>
      </c>
      <c r="E365">
        <f t="shared" si="12"/>
        <v>6.5525189331577138E-2</v>
      </c>
      <c r="F365">
        <f t="shared" si="11"/>
        <v>5.2957354758961774E-2</v>
      </c>
    </row>
    <row r="366" spans="1:6" x14ac:dyDescent="0.35">
      <c r="A366" s="15">
        <v>43798</v>
      </c>
      <c r="B366" t="s">
        <v>7</v>
      </c>
      <c r="C366" s="4">
        <v>30.68</v>
      </c>
      <c r="D366" s="8">
        <f>LOOKUP(EOMONTH(A366,0),Target_Prices!A$2:A$38,Target_Prices!E$2:E$38)</f>
        <v>34.073700000000002</v>
      </c>
      <c r="E366">
        <f t="shared" si="12"/>
        <v>-5.1915945611866521E-2</v>
      </c>
      <c r="F366">
        <f t="shared" si="11"/>
        <v>0.1106160365058671</v>
      </c>
    </row>
    <row r="367" spans="1:6" x14ac:dyDescent="0.35">
      <c r="A367" s="16">
        <v>43830</v>
      </c>
      <c r="B367" t="s">
        <v>7</v>
      </c>
      <c r="C367" s="3">
        <v>31.02</v>
      </c>
      <c r="D367" s="8">
        <f>LOOKUP(EOMONTH(A367,0),Target_Prices!A$2:A$38,Target_Prices!E$2:E$38)</f>
        <v>34.744399999999999</v>
      </c>
      <c r="E367">
        <f t="shared" si="12"/>
        <v>1.1082138200782188E-2</v>
      </c>
      <c r="F367">
        <f t="shared" si="11"/>
        <v>0.12006447453255961</v>
      </c>
    </row>
    <row r="368" spans="1:6" x14ac:dyDescent="0.35">
      <c r="A368" s="15">
        <v>43861</v>
      </c>
      <c r="B368" t="s">
        <v>7</v>
      </c>
      <c r="C368" s="4">
        <v>35.880000000000003</v>
      </c>
      <c r="D368" s="8">
        <f>LOOKUP(EOMONTH(A368,0),Target_Prices!A$2:A$38,Target_Prices!E$2:E$38)</f>
        <v>34.744399999999999</v>
      </c>
      <c r="E368">
        <f t="shared" si="12"/>
        <v>0.15667311411992269</v>
      </c>
      <c r="F368">
        <f t="shared" si="11"/>
        <v>-3.1649944258640011E-2</v>
      </c>
    </row>
    <row r="369" spans="1:6" x14ac:dyDescent="0.35">
      <c r="A369" s="16">
        <v>43889</v>
      </c>
      <c r="B369" t="s">
        <v>7</v>
      </c>
      <c r="C369" s="3">
        <v>35.659999999999997</v>
      </c>
      <c r="D369" s="8">
        <f>LOOKUP(EOMONTH(A369,0),Target_Prices!A$2:A$38,Target_Prices!E$2:E$38)</f>
        <v>34.744399999999999</v>
      </c>
      <c r="E369">
        <f t="shared" si="12"/>
        <v>-6.1315496098106603E-3</v>
      </c>
      <c r="F369">
        <f t="shared" si="11"/>
        <v>-2.5675827257431234E-2</v>
      </c>
    </row>
    <row r="370" spans="1:6" x14ac:dyDescent="0.35">
      <c r="A370" s="15">
        <v>43921</v>
      </c>
      <c r="B370" t="s">
        <v>7</v>
      </c>
      <c r="C370" s="4">
        <v>30.85</v>
      </c>
      <c r="D370" s="8">
        <f>LOOKUP(EOMONTH(A370,0),Target_Prices!A$2:A$38,Target_Prices!E$2:E$38)</f>
        <v>36.535299999999999</v>
      </c>
      <c r="E370">
        <f t="shared" si="12"/>
        <v>-0.13488502523836221</v>
      </c>
      <c r="F370">
        <f t="shared" si="11"/>
        <v>0.18428849270664499</v>
      </c>
    </row>
    <row r="371" spans="1:6" x14ac:dyDescent="0.35">
      <c r="A371" s="16">
        <v>43951</v>
      </c>
      <c r="B371" t="s">
        <v>7</v>
      </c>
      <c r="C371" s="3">
        <v>32.33</v>
      </c>
      <c r="D371" s="8">
        <f>LOOKUP(EOMONTH(A371,0),Target_Prices!A$2:A$38,Target_Prices!E$2:E$38)</f>
        <v>36.535299999999999</v>
      </c>
      <c r="E371">
        <f t="shared" si="12"/>
        <v>4.797406807131277E-2</v>
      </c>
      <c r="F371">
        <f t="shared" si="11"/>
        <v>0.13007423445716057</v>
      </c>
    </row>
    <row r="372" spans="1:6" x14ac:dyDescent="0.35">
      <c r="A372" s="15">
        <v>43980</v>
      </c>
      <c r="B372" t="s">
        <v>7</v>
      </c>
      <c r="C372" s="4">
        <v>36.32</v>
      </c>
      <c r="D372" s="8">
        <f>LOOKUP(EOMONTH(A372,0),Target_Prices!A$2:A$38,Target_Prices!E$2:E$38)</f>
        <v>36.535299999999999</v>
      </c>
      <c r="E372">
        <f t="shared" si="12"/>
        <v>0.12341478502938452</v>
      </c>
      <c r="F372">
        <f t="shared" si="11"/>
        <v>5.9278634361233252E-3</v>
      </c>
    </row>
    <row r="373" spans="1:6" x14ac:dyDescent="0.35">
      <c r="A373" s="16">
        <v>44012</v>
      </c>
      <c r="B373" t="s">
        <v>7</v>
      </c>
      <c r="C373" s="3">
        <v>34.81</v>
      </c>
      <c r="D373" s="8">
        <f>LOOKUP(EOMONTH(A373,0),Target_Prices!A$2:A$38,Target_Prices!E$2:E$38)</f>
        <v>36.310499999999998</v>
      </c>
      <c r="E373">
        <f t="shared" si="12"/>
        <v>-4.1574889867841303E-2</v>
      </c>
      <c r="F373">
        <f t="shared" si="11"/>
        <v>4.3105429474288859E-2</v>
      </c>
    </row>
    <row r="374" spans="1:6" x14ac:dyDescent="0.35">
      <c r="A374" s="15">
        <v>44043</v>
      </c>
      <c r="B374" t="s">
        <v>7</v>
      </c>
      <c r="C374" s="4">
        <v>38.880000000000003</v>
      </c>
      <c r="D374" s="8">
        <f>LOOKUP(EOMONTH(A374,0),Target_Prices!A$2:A$38,Target_Prices!E$2:E$38)</f>
        <v>36.310499999999998</v>
      </c>
      <c r="E374">
        <f t="shared" si="12"/>
        <v>0.11692042516518253</v>
      </c>
      <c r="F374">
        <f t="shared" si="11"/>
        <v>-6.6087962962963084E-2</v>
      </c>
    </row>
    <row r="375" spans="1:6" x14ac:dyDescent="0.35">
      <c r="A375" s="16">
        <v>44074</v>
      </c>
      <c r="B375" t="s">
        <v>7</v>
      </c>
      <c r="C375" s="3">
        <v>44.81</v>
      </c>
      <c r="D375" s="8">
        <f>LOOKUP(EOMONTH(A375,0),Target_Prices!A$2:A$38,Target_Prices!E$2:E$38)</f>
        <v>36.310499999999998</v>
      </c>
      <c r="E375">
        <f t="shared" si="12"/>
        <v>0.15252057613168724</v>
      </c>
      <c r="F375">
        <f t="shared" si="11"/>
        <v>-0.18967864316000901</v>
      </c>
    </row>
    <row r="376" spans="1:6" x14ac:dyDescent="0.35">
      <c r="A376" s="15">
        <v>44104</v>
      </c>
      <c r="B376" t="s">
        <v>7</v>
      </c>
      <c r="C376" s="4">
        <v>44.97</v>
      </c>
      <c r="D376" s="8">
        <f>LOOKUP(EOMONTH(A376,0),Target_Prices!A$2:A$38,Target_Prices!E$2:E$38)</f>
        <v>45.57</v>
      </c>
      <c r="E376">
        <f t="shared" si="12"/>
        <v>3.5706315554562273E-3</v>
      </c>
      <c r="F376">
        <f t="shared" si="11"/>
        <v>1.3342228152101433E-2</v>
      </c>
    </row>
    <row r="377" spans="1:6" x14ac:dyDescent="0.35">
      <c r="A377" s="16">
        <v>44134</v>
      </c>
      <c r="B377" t="s">
        <v>7</v>
      </c>
      <c r="C377" s="3">
        <v>44.68</v>
      </c>
      <c r="D377" s="8">
        <f>LOOKUP(EOMONTH(A377,0),Target_Prices!A$2:A$38,Target_Prices!E$2:E$38)</f>
        <v>45.57</v>
      </c>
      <c r="E377">
        <f t="shared" si="12"/>
        <v>-6.4487436068489945E-3</v>
      </c>
      <c r="F377">
        <f t="shared" si="11"/>
        <v>1.9919427036705475E-2</v>
      </c>
    </row>
    <row r="378" spans="1:6" x14ac:dyDescent="0.35">
      <c r="A378" s="15">
        <v>44165</v>
      </c>
      <c r="B378" t="s">
        <v>7</v>
      </c>
      <c r="C378" s="4">
        <v>56.18</v>
      </c>
      <c r="D378" s="8">
        <f>LOOKUP(EOMONTH(A378,0),Target_Prices!A$2:A$38,Target_Prices!E$2:E$38)</f>
        <v>45.57</v>
      </c>
      <c r="E378">
        <f t="shared" si="12"/>
        <v>0.25738585496866606</v>
      </c>
      <c r="F378">
        <f t="shared" si="11"/>
        <v>-0.18885724457102171</v>
      </c>
    </row>
    <row r="379" spans="1:6" x14ac:dyDescent="0.35">
      <c r="A379" s="16">
        <v>44196</v>
      </c>
      <c r="B379" t="s">
        <v>7</v>
      </c>
      <c r="C379" s="3">
        <v>59.16</v>
      </c>
      <c r="D379" s="8">
        <f>LOOKUP(EOMONTH(A379,0),Target_Prices!A$2:A$38,Target_Prices!E$2:E$38)</f>
        <v>53.109499999999997</v>
      </c>
      <c r="E379">
        <f t="shared" si="12"/>
        <v>5.3043787824848643E-2</v>
      </c>
      <c r="F379">
        <f t="shared" si="11"/>
        <v>-0.10227349560513861</v>
      </c>
    </row>
    <row r="380" spans="1:6" x14ac:dyDescent="0.35">
      <c r="A380" s="15">
        <v>44225</v>
      </c>
      <c r="B380" t="s">
        <v>7</v>
      </c>
      <c r="C380" s="4">
        <v>58.28</v>
      </c>
      <c r="D380" s="8">
        <f>LOOKUP(EOMONTH(A380,0),Target_Prices!A$2:A$38,Target_Prices!E$2:E$38)</f>
        <v>53.109499999999997</v>
      </c>
      <c r="E380">
        <f t="shared" si="12"/>
        <v>-1.487491548343467E-2</v>
      </c>
      <c r="F380">
        <f t="shared" si="11"/>
        <v>-8.87182566918326E-2</v>
      </c>
    </row>
    <row r="381" spans="1:6" x14ac:dyDescent="0.35">
      <c r="A381" s="16">
        <v>44253</v>
      </c>
      <c r="B381" t="s">
        <v>7</v>
      </c>
      <c r="C381" s="3">
        <v>54.46</v>
      </c>
      <c r="D381" s="8">
        <f>LOOKUP(EOMONTH(A381,0),Target_Prices!A$2:A$38,Target_Prices!E$2:E$38)</f>
        <v>53.109499999999997</v>
      </c>
      <c r="E381">
        <f t="shared" si="12"/>
        <v>-6.5545641729581328E-2</v>
      </c>
      <c r="F381">
        <f t="shared" si="11"/>
        <v>-2.4798016893132643E-2</v>
      </c>
    </row>
    <row r="382" spans="1:6" x14ac:dyDescent="0.35">
      <c r="A382" s="15">
        <v>44286</v>
      </c>
      <c r="B382" t="s">
        <v>7</v>
      </c>
      <c r="C382" s="4">
        <v>45.26</v>
      </c>
      <c r="D382" s="8">
        <f>LOOKUP(EOMONTH(A382,0),Target_Prices!A$2:A$38,Target_Prices!E$2:E$38)</f>
        <v>55.845500000000001</v>
      </c>
      <c r="E382">
        <f t="shared" si="12"/>
        <v>-0.1689313257436651</v>
      </c>
      <c r="F382">
        <f t="shared" si="11"/>
        <v>0.23388201502430411</v>
      </c>
    </row>
    <row r="383" spans="1:6" x14ac:dyDescent="0.35">
      <c r="A383" s="16">
        <v>44316</v>
      </c>
      <c r="B383" t="s">
        <v>7</v>
      </c>
      <c r="C383" s="3">
        <v>50.4</v>
      </c>
      <c r="D383" s="8">
        <f>LOOKUP(EOMONTH(A383,0),Target_Prices!A$2:A$38,Target_Prices!E$2:E$38)</f>
        <v>55.845500000000001</v>
      </c>
      <c r="E383">
        <f t="shared" si="12"/>
        <v>0.11356606274856396</v>
      </c>
      <c r="F383">
        <f t="shared" si="11"/>
        <v>0.10804563492063497</v>
      </c>
    </row>
    <row r="384" spans="1:6" x14ac:dyDescent="0.35">
      <c r="A384" s="15">
        <v>44347</v>
      </c>
      <c r="B384" t="s">
        <v>7</v>
      </c>
      <c r="C384" s="4">
        <v>53.9</v>
      </c>
      <c r="D384" s="8">
        <f>LOOKUP(EOMONTH(A384,0),Target_Prices!A$2:A$38,Target_Prices!E$2:E$38)</f>
        <v>55.845500000000001</v>
      </c>
      <c r="E384">
        <f t="shared" si="12"/>
        <v>6.944444444444442E-2</v>
      </c>
      <c r="F384">
        <f t="shared" si="11"/>
        <v>3.6094619666048287E-2</v>
      </c>
    </row>
    <row r="385" spans="1:6" x14ac:dyDescent="0.35">
      <c r="A385" s="16">
        <v>44377</v>
      </c>
      <c r="B385" t="s">
        <v>7</v>
      </c>
      <c r="C385" s="3">
        <v>51.64</v>
      </c>
      <c r="D385" s="8">
        <f>LOOKUP(EOMONTH(A385,0),Target_Prices!A$2:A$38,Target_Prices!E$2:E$38)</f>
        <v>55.739100000000001</v>
      </c>
      <c r="E385">
        <f t="shared" si="12"/>
        <v>-4.1929499072356213E-2</v>
      </c>
      <c r="F385">
        <f t="shared" si="11"/>
        <v>7.9378388845855921E-2</v>
      </c>
    </row>
    <row r="386" spans="1:6" x14ac:dyDescent="0.35">
      <c r="A386" s="15">
        <v>44407</v>
      </c>
      <c r="B386" t="s">
        <v>7</v>
      </c>
      <c r="C386" s="4">
        <v>51.82</v>
      </c>
      <c r="D386" s="8">
        <f>LOOKUP(EOMONTH(A386,0),Target_Prices!A$2:A$38,Target_Prices!E$2:E$38)</f>
        <v>55.739100000000001</v>
      </c>
      <c r="E386">
        <f t="shared" si="12"/>
        <v>3.4856700232377413E-3</v>
      </c>
      <c r="F386">
        <f t="shared" si="11"/>
        <v>7.5629100733307614E-2</v>
      </c>
    </row>
    <row r="387" spans="1:6" x14ac:dyDescent="0.35">
      <c r="A387" s="16">
        <v>44439</v>
      </c>
      <c r="B387" t="s">
        <v>7</v>
      </c>
      <c r="C387" s="3">
        <v>51.54</v>
      </c>
      <c r="D387" s="8">
        <f>LOOKUP(EOMONTH(A387,0),Target_Prices!A$2:A$38,Target_Prices!E$2:E$38)</f>
        <v>55.739100000000001</v>
      </c>
      <c r="E387">
        <f t="shared" si="12"/>
        <v>-5.4033191817831616E-3</v>
      </c>
      <c r="F387">
        <f t="shared" ref="F387:F450" si="13">(D387-C387)/C387</f>
        <v>8.1472642607683388E-2</v>
      </c>
    </row>
    <row r="388" spans="1:6" x14ac:dyDescent="0.35">
      <c r="A388" s="15">
        <v>44469</v>
      </c>
      <c r="B388" t="s">
        <v>7</v>
      </c>
      <c r="C388" s="4">
        <v>48.97</v>
      </c>
      <c r="D388" s="8">
        <f>LOOKUP(EOMONTH(A388,0),Target_Prices!A$2:A$38,Target_Prices!E$2:E$38)</f>
        <v>57.1143</v>
      </c>
      <c r="E388">
        <f t="shared" si="12"/>
        <v>-4.9864183158711661E-2</v>
      </c>
      <c r="F388">
        <f t="shared" si="13"/>
        <v>0.16631202777210541</v>
      </c>
    </row>
    <row r="389" spans="1:6" x14ac:dyDescent="0.35">
      <c r="A389" s="16">
        <v>44498</v>
      </c>
      <c r="B389" t="s">
        <v>7</v>
      </c>
      <c r="C389" s="3">
        <v>48.19</v>
      </c>
      <c r="D389" s="8">
        <f>LOOKUP(EOMONTH(A389,0),Target_Prices!A$2:A$38,Target_Prices!E$2:E$38)</f>
        <v>57.1143</v>
      </c>
      <c r="E389">
        <f t="shared" si="12"/>
        <v>-1.59281192566878E-2</v>
      </c>
      <c r="F389">
        <f t="shared" si="13"/>
        <v>0.18518987341772158</v>
      </c>
    </row>
    <row r="390" spans="1:6" x14ac:dyDescent="0.35">
      <c r="A390" s="15">
        <v>44530</v>
      </c>
      <c r="B390" t="s">
        <v>7</v>
      </c>
      <c r="C390" s="4">
        <v>41.77</v>
      </c>
      <c r="D390" s="8">
        <f>LOOKUP(EOMONTH(A390,0),Target_Prices!A$2:A$38,Target_Prices!E$2:E$38)</f>
        <v>57.1143</v>
      </c>
      <c r="E390">
        <f t="shared" si="12"/>
        <v>-0.13322266030296737</v>
      </c>
      <c r="F390">
        <f t="shared" si="13"/>
        <v>0.36735216662676551</v>
      </c>
    </row>
    <row r="391" spans="1:6" x14ac:dyDescent="0.35">
      <c r="A391" s="16">
        <v>44561</v>
      </c>
      <c r="B391" t="s">
        <v>7</v>
      </c>
      <c r="C391" s="3">
        <v>43.36</v>
      </c>
      <c r="D391" s="8">
        <f>LOOKUP(EOMONTH(A391,0),Target_Prices!A$2:A$38,Target_Prices!E$2:E$38)</f>
        <v>56.371400000000001</v>
      </c>
      <c r="E391">
        <f t="shared" si="12"/>
        <v>3.8065597318649669E-2</v>
      </c>
      <c r="F391">
        <f t="shared" si="13"/>
        <v>0.30007841328413287</v>
      </c>
    </row>
    <row r="392" spans="1:6" x14ac:dyDescent="0.35">
      <c r="A392" s="15">
        <v>44592</v>
      </c>
      <c r="B392" t="s">
        <v>7</v>
      </c>
      <c r="C392" s="4">
        <v>39.770000000000003</v>
      </c>
      <c r="D392" s="8">
        <f>LOOKUP(EOMONTH(A392,0),Target_Prices!A$2:A$38,Target_Prices!E$2:E$38)</f>
        <v>56.371400000000001</v>
      </c>
      <c r="E392">
        <f t="shared" si="12"/>
        <v>-8.2795202952029467E-2</v>
      </c>
      <c r="F392">
        <f t="shared" si="13"/>
        <v>0.41743525270304244</v>
      </c>
    </row>
    <row r="393" spans="1:6" x14ac:dyDescent="0.35">
      <c r="A393" s="16">
        <v>44620</v>
      </c>
      <c r="B393" t="s">
        <v>7</v>
      </c>
      <c r="C393" s="3">
        <v>35.18</v>
      </c>
      <c r="D393" s="8">
        <f>LOOKUP(EOMONTH(A393,0),Target_Prices!A$2:A$38,Target_Prices!E$2:E$38)</f>
        <v>56.371400000000001</v>
      </c>
      <c r="E393">
        <f t="shared" si="12"/>
        <v>-0.11541362836308788</v>
      </c>
      <c r="F393">
        <f t="shared" si="13"/>
        <v>0.60237066515065385</v>
      </c>
    </row>
    <row r="394" spans="1:6" x14ac:dyDescent="0.35">
      <c r="A394" s="15">
        <v>44651</v>
      </c>
      <c r="B394" t="s">
        <v>7</v>
      </c>
      <c r="C394" s="4">
        <v>41.48</v>
      </c>
      <c r="D394" s="8">
        <f>LOOKUP(EOMONTH(A394,0),Target_Prices!A$2:A$38,Target_Prices!E$2:E$38)</f>
        <v>50.368400000000001</v>
      </c>
      <c r="E394">
        <f t="shared" si="12"/>
        <v>0.17907902217168847</v>
      </c>
      <c r="F394">
        <f t="shared" si="13"/>
        <v>0.21428158148505316</v>
      </c>
    </row>
    <row r="395" spans="1:6" x14ac:dyDescent="0.35">
      <c r="A395" s="16">
        <v>44680</v>
      </c>
      <c r="B395" t="s">
        <v>7</v>
      </c>
      <c r="C395" s="3">
        <v>41.2</v>
      </c>
      <c r="D395" s="8">
        <f>LOOKUP(EOMONTH(A395,0),Target_Prices!A$2:A$38,Target_Prices!E$2:E$38)</f>
        <v>50.368400000000001</v>
      </c>
      <c r="E395">
        <f t="shared" si="12"/>
        <v>-6.7502410800384105E-3</v>
      </c>
      <c r="F395">
        <f t="shared" si="13"/>
        <v>0.22253398058252422</v>
      </c>
    </row>
    <row r="396" spans="1:6" x14ac:dyDescent="0.35">
      <c r="A396" s="15">
        <v>44712</v>
      </c>
      <c r="B396" t="s">
        <v>7</v>
      </c>
      <c r="C396" s="4">
        <v>42.71</v>
      </c>
      <c r="D396" s="8">
        <f>LOOKUP(EOMONTH(A396,0),Target_Prices!A$2:A$38,Target_Prices!E$2:E$38)</f>
        <v>50.368400000000001</v>
      </c>
      <c r="E396">
        <f t="shared" si="12"/>
        <v>3.6650485436893199E-2</v>
      </c>
      <c r="F396">
        <f t="shared" si="13"/>
        <v>0.17931163661905877</v>
      </c>
    </row>
    <row r="397" spans="1:6" x14ac:dyDescent="0.35">
      <c r="A397" s="16">
        <v>44742</v>
      </c>
      <c r="B397" t="s">
        <v>7</v>
      </c>
      <c r="C397" s="3">
        <v>42.24</v>
      </c>
      <c r="D397" s="8">
        <f>LOOKUP(EOMONTH(A397,0),Target_Prices!A$2:A$38,Target_Prices!E$2:E$38)</f>
        <v>50.5</v>
      </c>
      <c r="E397">
        <f t="shared" si="12"/>
        <v>-1.1004448606883654E-2</v>
      </c>
      <c r="F397">
        <f t="shared" si="13"/>
        <v>0.19554924242424238</v>
      </c>
    </row>
    <row r="398" spans="1:6" x14ac:dyDescent="0.35">
      <c r="A398" s="15">
        <v>44771</v>
      </c>
      <c r="B398" t="s">
        <v>7</v>
      </c>
      <c r="C398" s="4">
        <v>50.08</v>
      </c>
      <c r="D398" s="8">
        <f>LOOKUP(EOMONTH(A398,0),Target_Prices!A$2:A$38,Target_Prices!E$2:E$38)</f>
        <v>50.5</v>
      </c>
      <c r="E398">
        <f t="shared" ref="E398:E441" si="14">(C398/C397)-1</f>
        <v>0.18560606060606055</v>
      </c>
      <c r="F398">
        <f t="shared" si="13"/>
        <v>8.3865814696485966E-3</v>
      </c>
    </row>
    <row r="399" spans="1:6" x14ac:dyDescent="0.35">
      <c r="A399" s="16">
        <v>44804</v>
      </c>
      <c r="B399" t="s">
        <v>7</v>
      </c>
      <c r="C399" s="3">
        <v>49.25</v>
      </c>
      <c r="D399" s="8">
        <f>LOOKUP(EOMONTH(A399,0),Target_Prices!A$2:A$38,Target_Prices!E$2:E$38)</f>
        <v>50.5</v>
      </c>
      <c r="E399">
        <f t="shared" si="14"/>
        <v>-1.6573482428114961E-2</v>
      </c>
      <c r="F399">
        <f t="shared" si="13"/>
        <v>2.5380710659898477E-2</v>
      </c>
    </row>
    <row r="400" spans="1:6" x14ac:dyDescent="0.35">
      <c r="A400" s="15">
        <v>44834</v>
      </c>
      <c r="B400" t="s">
        <v>7</v>
      </c>
      <c r="C400" s="4">
        <v>44.8</v>
      </c>
      <c r="D400" s="8">
        <f>LOOKUP(EOMONTH(A400,0),Target_Prices!A$2:A$38,Target_Prices!E$2:E$38)</f>
        <v>54.526299999999999</v>
      </c>
      <c r="E400">
        <f t="shared" si="14"/>
        <v>-9.0355329949238672E-2</v>
      </c>
      <c r="F400">
        <f t="shared" si="13"/>
        <v>0.21710491071428578</v>
      </c>
    </row>
    <row r="401" spans="1:6" x14ac:dyDescent="0.35">
      <c r="A401" s="16">
        <v>44865</v>
      </c>
      <c r="B401" t="s">
        <v>7</v>
      </c>
      <c r="C401" s="3">
        <v>44.34</v>
      </c>
      <c r="D401" s="8">
        <f>LOOKUP(EOMONTH(A401,0),Target_Prices!A$2:A$38,Target_Prices!E$2:E$38)</f>
        <v>54.526299999999999</v>
      </c>
      <c r="E401">
        <f t="shared" si="14"/>
        <v>-1.0267857142857051E-2</v>
      </c>
      <c r="F401">
        <f t="shared" si="13"/>
        <v>0.22973161930536751</v>
      </c>
    </row>
    <row r="402" spans="1:6" x14ac:dyDescent="0.35">
      <c r="A402" s="15">
        <v>44895</v>
      </c>
      <c r="B402" t="s">
        <v>7</v>
      </c>
      <c r="C402" s="4">
        <v>49.34</v>
      </c>
      <c r="D402" s="8">
        <f>LOOKUP(EOMONTH(A402,0),Target_Prices!A$2:A$38,Target_Prices!E$2:E$38)</f>
        <v>54.526299999999999</v>
      </c>
      <c r="E402">
        <f t="shared" si="14"/>
        <v>0.11276499774470006</v>
      </c>
      <c r="F402">
        <f t="shared" si="13"/>
        <v>0.10511349817592208</v>
      </c>
    </row>
    <row r="403" spans="1:6" x14ac:dyDescent="0.35">
      <c r="A403" s="16">
        <v>44925</v>
      </c>
      <c r="B403" t="s">
        <v>7</v>
      </c>
      <c r="C403" s="3">
        <v>43.02</v>
      </c>
      <c r="D403" s="8">
        <f>LOOKUP(EOMONTH(A403,0),Target_Prices!A$2:A$38,Target_Prices!E$2:E$38)</f>
        <v>54.263199999999998</v>
      </c>
      <c r="E403">
        <f t="shared" si="14"/>
        <v>-0.12809079854073768</v>
      </c>
      <c r="F403">
        <f t="shared" si="13"/>
        <v>0.26134821013482085</v>
      </c>
    </row>
    <row r="404" spans="1:6" x14ac:dyDescent="0.35">
      <c r="A404" s="15">
        <v>44957</v>
      </c>
      <c r="B404" t="s">
        <v>7</v>
      </c>
      <c r="C404" s="4">
        <v>43.83</v>
      </c>
      <c r="D404" s="8">
        <f>LOOKUP(EOMONTH(A404,0),Target_Prices!A$2:A$38,Target_Prices!E$2:E$38)</f>
        <v>54.263199999999998</v>
      </c>
      <c r="E404">
        <f t="shared" si="14"/>
        <v>1.8828451882844988E-2</v>
      </c>
      <c r="F404">
        <f t="shared" si="13"/>
        <v>0.23803787360255532</v>
      </c>
    </row>
    <row r="405" spans="1:6" x14ac:dyDescent="0.35">
      <c r="A405" s="16">
        <v>44985</v>
      </c>
      <c r="B405" t="s">
        <v>7</v>
      </c>
      <c r="C405" s="3">
        <v>45.69</v>
      </c>
      <c r="D405" s="8">
        <f>LOOKUP(EOMONTH(A405,0),Target_Prices!A$2:A$38,Target_Prices!E$2:E$38)</f>
        <v>54.263199999999998</v>
      </c>
      <c r="E405">
        <f t="shared" si="14"/>
        <v>4.2436687200547496E-2</v>
      </c>
      <c r="F405">
        <f t="shared" si="13"/>
        <v>0.18763843291748741</v>
      </c>
    </row>
    <row r="406" spans="1:6" x14ac:dyDescent="0.35">
      <c r="A406" s="15">
        <v>45016</v>
      </c>
      <c r="B406" t="s">
        <v>7</v>
      </c>
      <c r="C406" s="4">
        <v>45.43</v>
      </c>
      <c r="D406" s="8">
        <f>LOOKUP(EOMONTH(A406,0),Target_Prices!A$2:A$38,Target_Prices!E$2:E$38)</f>
        <v>54.47</v>
      </c>
      <c r="E406">
        <f t="shared" si="14"/>
        <v>-5.6905230903917525E-3</v>
      </c>
      <c r="F406">
        <f t="shared" si="13"/>
        <v>0.19898745322474135</v>
      </c>
    </row>
    <row r="407" spans="1:6" x14ac:dyDescent="0.35">
      <c r="A407" s="16">
        <v>45044</v>
      </c>
      <c r="B407" t="s">
        <v>7</v>
      </c>
      <c r="C407" s="3">
        <v>43.94</v>
      </c>
      <c r="D407" s="8">
        <f>LOOKUP(EOMONTH(A407,0),Target_Prices!A$2:A$38,Target_Prices!E$2:E$38)</f>
        <v>54.47</v>
      </c>
      <c r="E407">
        <f t="shared" si="14"/>
        <v>-3.2797710763812549E-2</v>
      </c>
      <c r="F407">
        <f t="shared" si="13"/>
        <v>0.23964497041420121</v>
      </c>
    </row>
    <row r="408" spans="1:6" x14ac:dyDescent="0.35">
      <c r="A408" s="15">
        <v>45077</v>
      </c>
      <c r="B408" t="s">
        <v>7</v>
      </c>
      <c r="C408" s="4">
        <v>35.369999999999997</v>
      </c>
      <c r="D408" s="8">
        <f>LOOKUP(EOMONTH(A408,0),Target_Prices!A$2:A$38,Target_Prices!E$2:E$38)</f>
        <v>54.47</v>
      </c>
      <c r="E408">
        <f t="shared" si="14"/>
        <v>-0.19503868912152933</v>
      </c>
      <c r="F408">
        <f t="shared" si="13"/>
        <v>0.54000565450947136</v>
      </c>
    </row>
    <row r="409" spans="1:6" x14ac:dyDescent="0.35">
      <c r="A409" s="16">
        <v>45107</v>
      </c>
      <c r="B409" t="s">
        <v>7</v>
      </c>
      <c r="C409" s="3">
        <v>35.26</v>
      </c>
      <c r="D409" s="8">
        <f>LOOKUP(EOMONTH(A409,0),Target_Prices!A$2:A$38,Target_Prices!E$2:E$38)</f>
        <v>50.971400000000003</v>
      </c>
      <c r="E409">
        <f t="shared" si="14"/>
        <v>-3.1099802092168227E-3</v>
      </c>
      <c r="F409">
        <f t="shared" si="13"/>
        <v>0.44558706749858212</v>
      </c>
    </row>
    <row r="410" spans="1:6" x14ac:dyDescent="0.35">
      <c r="A410" s="15">
        <v>45138</v>
      </c>
      <c r="B410" t="s">
        <v>7</v>
      </c>
      <c r="C410" s="4">
        <v>33.46</v>
      </c>
      <c r="D410" s="8">
        <f>LOOKUP(EOMONTH(A410,0),Target_Prices!A$2:A$38,Target_Prices!E$2:E$38)</f>
        <v>50.971400000000003</v>
      </c>
      <c r="E410">
        <f t="shared" si="14"/>
        <v>-5.1049347702779246E-2</v>
      </c>
      <c r="F410">
        <f t="shared" si="13"/>
        <v>0.52335325762104012</v>
      </c>
    </row>
    <row r="411" spans="1:6" x14ac:dyDescent="0.35">
      <c r="A411" s="16">
        <v>45169</v>
      </c>
      <c r="B411" t="s">
        <v>7</v>
      </c>
      <c r="C411" s="3">
        <v>33.78</v>
      </c>
      <c r="D411" s="8">
        <f>LOOKUP(EOMONTH(A411,0),Target_Prices!A$2:A$38,Target_Prices!E$2:E$38)</f>
        <v>50.971400000000003</v>
      </c>
      <c r="E411">
        <f t="shared" si="14"/>
        <v>9.5636580992228826E-3</v>
      </c>
      <c r="F411">
        <f t="shared" si="13"/>
        <v>0.50892243931320313</v>
      </c>
    </row>
    <row r="412" spans="1:6" x14ac:dyDescent="0.35">
      <c r="A412" s="15">
        <v>45198</v>
      </c>
      <c r="B412" t="s">
        <v>7</v>
      </c>
      <c r="C412" s="4">
        <v>32.130000000000003</v>
      </c>
      <c r="D412" s="8">
        <f>LOOKUP(EOMONTH(A412,0),Target_Prices!A$2:A$38,Target_Prices!E$2:E$38)</f>
        <v>47.05</v>
      </c>
      <c r="E412">
        <f t="shared" si="14"/>
        <v>-4.8845470692717496E-2</v>
      </c>
      <c r="F412">
        <f t="shared" si="13"/>
        <v>0.46436352318705237</v>
      </c>
    </row>
    <row r="413" spans="1:6" x14ac:dyDescent="0.35">
      <c r="A413" s="16">
        <v>45230</v>
      </c>
      <c r="B413" t="s">
        <v>7</v>
      </c>
      <c r="C413" s="3">
        <v>31.71</v>
      </c>
      <c r="D413" s="8">
        <f>LOOKUP(EOMONTH(A413,0),Target_Prices!A$2:A$38,Target_Prices!E$2:E$38)</f>
        <v>47.05</v>
      </c>
      <c r="E413">
        <f t="shared" si="14"/>
        <v>-1.3071895424836666E-2</v>
      </c>
      <c r="F413">
        <f t="shared" si="13"/>
        <v>0.48375906654052336</v>
      </c>
    </row>
    <row r="414" spans="1:6" x14ac:dyDescent="0.35">
      <c r="A414" s="15">
        <v>45260</v>
      </c>
      <c r="B414" t="s">
        <v>7</v>
      </c>
      <c r="C414" s="4">
        <v>34.880000000000003</v>
      </c>
      <c r="D414" s="8">
        <f>LOOKUP(EOMONTH(A414,0),Target_Prices!A$2:A$38,Target_Prices!E$2:E$38)</f>
        <v>47.05</v>
      </c>
      <c r="E414">
        <f t="shared" si="14"/>
        <v>9.9968464206874774E-2</v>
      </c>
      <c r="F414">
        <f t="shared" si="13"/>
        <v>0.34891055045871544</v>
      </c>
    </row>
    <row r="415" spans="1:6" x14ac:dyDescent="0.35">
      <c r="A415" s="16">
        <v>45289</v>
      </c>
      <c r="B415" t="s">
        <v>7</v>
      </c>
      <c r="C415" s="3">
        <v>32.21</v>
      </c>
      <c r="D415" s="8">
        <f>LOOKUP(EOMONTH(A415,0),Target_Prices!A$2:A$38,Target_Prices!E$2:E$38)</f>
        <v>44</v>
      </c>
      <c r="E415">
        <f t="shared" si="14"/>
        <v>-7.6548165137614754E-2</v>
      </c>
      <c r="F415">
        <f t="shared" si="13"/>
        <v>0.36603539273517538</v>
      </c>
    </row>
    <row r="416" spans="1:6" x14ac:dyDescent="0.35">
      <c r="A416" s="15">
        <v>45322</v>
      </c>
      <c r="B416" t="s">
        <v>7</v>
      </c>
      <c r="C416" s="4">
        <v>32.049999999999997</v>
      </c>
      <c r="D416" s="8">
        <f>LOOKUP(EOMONTH(A416,0),Target_Prices!A$2:A$38,Target_Prices!E$2:E$38)</f>
        <v>44</v>
      </c>
      <c r="E416">
        <f t="shared" si="14"/>
        <v>-4.9674014281280154E-3</v>
      </c>
      <c r="F416">
        <f t="shared" si="13"/>
        <v>0.37285491419656797</v>
      </c>
    </row>
    <row r="417" spans="1:6" x14ac:dyDescent="0.35">
      <c r="A417" s="16">
        <v>45351</v>
      </c>
      <c r="B417" t="s">
        <v>7</v>
      </c>
      <c r="C417" s="3">
        <v>25.37</v>
      </c>
      <c r="D417" s="8">
        <f>LOOKUP(EOMONTH(A417,0),Target_Prices!A$2:A$38,Target_Prices!E$2:E$38)</f>
        <v>44</v>
      </c>
      <c r="E417">
        <f t="shared" si="14"/>
        <v>-0.20842433697347884</v>
      </c>
      <c r="F417">
        <f t="shared" si="13"/>
        <v>0.73433188805675986</v>
      </c>
    </row>
    <row r="418" spans="1:6" x14ac:dyDescent="0.35">
      <c r="A418" s="15">
        <v>45380</v>
      </c>
      <c r="B418" t="s">
        <v>7</v>
      </c>
      <c r="C418" s="4">
        <v>25.1</v>
      </c>
      <c r="D418" s="8">
        <f>LOOKUP(EOMONTH(A418,0),Target_Prices!A$2:A$38,Target_Prices!E$2:E$38)</f>
        <v>37.65</v>
      </c>
      <c r="E418">
        <f t="shared" si="14"/>
        <v>-1.064249113125737E-2</v>
      </c>
      <c r="F418">
        <f t="shared" si="13"/>
        <v>0.49999999999999983</v>
      </c>
    </row>
    <row r="419" spans="1:6" x14ac:dyDescent="0.35">
      <c r="A419" s="16">
        <v>45412</v>
      </c>
      <c r="B419" t="s">
        <v>7</v>
      </c>
      <c r="C419" s="3">
        <v>21.34</v>
      </c>
      <c r="D419" s="8">
        <f>LOOKUP(EOMONTH(A419,0),Target_Prices!A$2:A$38,Target_Prices!E$2:E$38)</f>
        <v>37.65</v>
      </c>
      <c r="E419">
        <f t="shared" si="14"/>
        <v>-0.14980079681274905</v>
      </c>
      <c r="F419">
        <f t="shared" si="13"/>
        <v>0.76429240862230552</v>
      </c>
    </row>
    <row r="420" spans="1:6" x14ac:dyDescent="0.35">
      <c r="A420" s="15">
        <v>45443</v>
      </c>
      <c r="B420" t="s">
        <v>7</v>
      </c>
      <c r="C420" s="4">
        <v>19.265000000000001</v>
      </c>
      <c r="D420" s="8">
        <f>LOOKUP(EOMONTH(A420,0),Target_Prices!A$2:A$38,Target_Prices!E$2:E$38)</f>
        <v>37.65</v>
      </c>
      <c r="E420">
        <f t="shared" si="14"/>
        <v>-9.7235238987816275E-2</v>
      </c>
      <c r="F420">
        <f t="shared" si="13"/>
        <v>0.9543213080716324</v>
      </c>
    </row>
    <row r="421" spans="1:6" x14ac:dyDescent="0.35">
      <c r="A421" s="16">
        <v>45471</v>
      </c>
      <c r="B421" t="s">
        <v>7</v>
      </c>
      <c r="C421" s="3">
        <v>16.625</v>
      </c>
      <c r="D421" s="8">
        <f>LOOKUP(EOMONTH(A421,0),Target_Prices!A$2:A$38,Target_Prices!E$2:E$38)</f>
        <v>27.285699999999999</v>
      </c>
      <c r="E421">
        <f t="shared" si="14"/>
        <v>-0.13703607578510257</v>
      </c>
      <c r="F421">
        <f t="shared" si="13"/>
        <v>0.64124511278195484</v>
      </c>
    </row>
    <row r="422" spans="1:6" x14ac:dyDescent="0.35">
      <c r="A422" s="15">
        <v>45504</v>
      </c>
      <c r="B422" t="s">
        <v>7</v>
      </c>
      <c r="C422" s="4">
        <v>18.66</v>
      </c>
      <c r="D422" s="8">
        <f>LOOKUP(EOMONTH(A422,0),Target_Prices!A$2:A$38,Target_Prices!E$2:E$38)</f>
        <v>27.285699999999999</v>
      </c>
      <c r="E422">
        <f t="shared" si="14"/>
        <v>0.12240601503759407</v>
      </c>
      <c r="F422">
        <f t="shared" si="13"/>
        <v>0.46225616291532678</v>
      </c>
    </row>
    <row r="423" spans="1:6" x14ac:dyDescent="0.35">
      <c r="A423" s="16">
        <v>45534</v>
      </c>
      <c r="B423" t="s">
        <v>7</v>
      </c>
      <c r="C423" s="3">
        <v>21.15</v>
      </c>
      <c r="D423" s="8">
        <f>LOOKUP(EOMONTH(A423,0),Target_Prices!A$2:A$38,Target_Prices!E$2:E$38)</f>
        <v>27.285699999999999</v>
      </c>
      <c r="E423">
        <f t="shared" si="14"/>
        <v>0.13344051446945326</v>
      </c>
      <c r="F423">
        <f t="shared" si="13"/>
        <v>0.29010401891252957</v>
      </c>
    </row>
    <row r="424" spans="1:6" x14ac:dyDescent="0.35">
      <c r="A424" s="15">
        <v>45565</v>
      </c>
      <c r="B424" t="s">
        <v>7</v>
      </c>
      <c r="C424" s="4">
        <v>17.43</v>
      </c>
      <c r="D424" s="8">
        <f>LOOKUP(EOMONTH(A424,0),Target_Prices!A$2:A$38,Target_Prices!E$2:E$38)</f>
        <v>22.390499999999999</v>
      </c>
      <c r="E424">
        <f t="shared" si="14"/>
        <v>-0.17588652482269496</v>
      </c>
      <c r="F424">
        <f t="shared" si="13"/>
        <v>0.28459552495697071</v>
      </c>
    </row>
    <row r="425" spans="1:6" x14ac:dyDescent="0.35">
      <c r="A425" s="16">
        <v>45596</v>
      </c>
      <c r="B425" t="s">
        <v>7</v>
      </c>
      <c r="C425" s="3">
        <v>14.68</v>
      </c>
      <c r="D425" s="8">
        <f>LOOKUP(EOMONTH(A425,0),Target_Prices!A$2:A$38,Target_Prices!E$2:E$38)</f>
        <v>22.390499999999999</v>
      </c>
      <c r="E425">
        <f t="shared" si="14"/>
        <v>-0.15777395295467589</v>
      </c>
      <c r="F425">
        <f t="shared" si="13"/>
        <v>0.52523841961852857</v>
      </c>
    </row>
    <row r="426" spans="1:6" x14ac:dyDescent="0.35">
      <c r="A426" s="15">
        <v>45625</v>
      </c>
      <c r="B426" t="s">
        <v>7</v>
      </c>
      <c r="C426" s="4">
        <v>14.404999999999999</v>
      </c>
      <c r="D426" s="8">
        <f>LOOKUP(EOMONTH(A426,0),Target_Prices!A$2:A$38,Target_Prices!E$2:E$38)</f>
        <v>22.390499999999999</v>
      </c>
      <c r="E426">
        <f t="shared" si="14"/>
        <v>-1.8732970027247942E-2</v>
      </c>
      <c r="F426">
        <f t="shared" si="13"/>
        <v>0.55435612634501907</v>
      </c>
    </row>
    <row r="427" spans="1:6" x14ac:dyDescent="0.35">
      <c r="A427" s="16">
        <v>45657</v>
      </c>
      <c r="B427" t="s">
        <v>7</v>
      </c>
      <c r="C427" s="3">
        <v>12.125</v>
      </c>
      <c r="D427" s="8">
        <f>LOOKUP(EOMONTH(A427,0),Target_Prices!A$2:A$38,Target_Prices!E$2:E$38)</f>
        <v>18.664999999999999</v>
      </c>
      <c r="E427">
        <f t="shared" si="14"/>
        <v>-0.15827837556404023</v>
      </c>
      <c r="F427">
        <f t="shared" si="13"/>
        <v>0.53938144329896898</v>
      </c>
    </row>
    <row r="428" spans="1:6" x14ac:dyDescent="0.35">
      <c r="A428" s="15">
        <v>45688</v>
      </c>
      <c r="B428" t="s">
        <v>7</v>
      </c>
      <c r="C428" s="4">
        <v>12.234999999999999</v>
      </c>
      <c r="D428" s="8">
        <f>LOOKUP(EOMONTH(A428,0),Target_Prices!A$2:A$38,Target_Prices!E$2:E$38)</f>
        <v>18.664999999999999</v>
      </c>
      <c r="E428">
        <f t="shared" si="14"/>
        <v>9.0721649484535316E-3</v>
      </c>
      <c r="F428">
        <f t="shared" si="13"/>
        <v>0.52554147936248463</v>
      </c>
    </row>
    <row r="429" spans="1:6" x14ac:dyDescent="0.35">
      <c r="A429" s="16">
        <v>45716</v>
      </c>
      <c r="B429" t="s">
        <v>7</v>
      </c>
      <c r="C429" s="3">
        <v>8.5980000000000008</v>
      </c>
      <c r="D429" s="8">
        <f>LOOKUP(EOMONTH(A429,0),Target_Prices!A$2:A$38,Target_Prices!E$2:E$38)</f>
        <v>18.664999999999999</v>
      </c>
      <c r="E429">
        <f t="shared" si="14"/>
        <v>-0.29726195341234152</v>
      </c>
      <c r="F429">
        <f t="shared" si="13"/>
        <v>1.1708536869039308</v>
      </c>
    </row>
    <row r="430" spans="1:6" x14ac:dyDescent="0.35">
      <c r="A430" s="15">
        <v>45747</v>
      </c>
      <c r="B430" t="s">
        <v>7</v>
      </c>
      <c r="C430" s="4">
        <v>8.5340000000000007</v>
      </c>
      <c r="D430" s="8">
        <f>LOOKUP(EOMONTH(A430,0),Target_Prices!A$2:A$38,Target_Prices!E$2:E$38)</f>
        <v>13.8238</v>
      </c>
      <c r="E430">
        <f t="shared" si="14"/>
        <v>-7.4435915329146285E-3</v>
      </c>
      <c r="F430">
        <f t="shared" si="13"/>
        <v>0.61985001171783449</v>
      </c>
    </row>
    <row r="431" spans="1:6" x14ac:dyDescent="0.35">
      <c r="A431" s="16">
        <v>45777</v>
      </c>
      <c r="B431" t="s">
        <v>7</v>
      </c>
      <c r="C431" s="3">
        <v>9.1560000000000006</v>
      </c>
      <c r="D431" s="8">
        <f>LOOKUP(EOMONTH(A431,0),Target_Prices!A$2:A$38,Target_Prices!E$2:E$38)</f>
        <v>13.8238</v>
      </c>
      <c r="E431">
        <f t="shared" si="14"/>
        <v>7.2884930864776099E-2</v>
      </c>
      <c r="F431">
        <f t="shared" si="13"/>
        <v>0.50980777632153773</v>
      </c>
    </row>
    <row r="432" spans="1:6" x14ac:dyDescent="0.35">
      <c r="A432" s="15">
        <v>45807</v>
      </c>
      <c r="B432" t="s">
        <v>7</v>
      </c>
      <c r="C432" s="4">
        <v>9.4499999999999993</v>
      </c>
      <c r="D432" s="8">
        <f>LOOKUP(EOMONTH(A432,0),Target_Prices!A$2:A$38,Target_Prices!E$2:E$38)</f>
        <v>13.8238</v>
      </c>
      <c r="E432">
        <f t="shared" si="14"/>
        <v>3.2110091743119185E-2</v>
      </c>
      <c r="F432">
        <f t="shared" si="13"/>
        <v>0.46283597883597899</v>
      </c>
    </row>
    <row r="433" spans="1:6" x14ac:dyDescent="0.35">
      <c r="A433" s="16">
        <v>45838</v>
      </c>
      <c r="B433" t="s">
        <v>7</v>
      </c>
      <c r="C433" s="3">
        <v>11.52</v>
      </c>
      <c r="D433" s="8">
        <f>LOOKUP(EOMONTH(A433,0),Target_Prices!A$2:A$38,Target_Prices!E$2:E$38)</f>
        <v>12.686400000000001</v>
      </c>
      <c r="E433">
        <f t="shared" si="14"/>
        <v>0.21904761904761916</v>
      </c>
      <c r="F433">
        <f t="shared" si="13"/>
        <v>0.1012500000000001</v>
      </c>
    </row>
    <row r="434" spans="1:6" x14ac:dyDescent="0.35">
      <c r="A434" s="15">
        <v>45869</v>
      </c>
      <c r="B434" t="s">
        <v>7</v>
      </c>
      <c r="C434" s="4">
        <v>13.835000000000001</v>
      </c>
      <c r="D434" s="8">
        <f>LOOKUP(EOMONTH(A434,0),Target_Prices!A$2:A$38,Target_Prices!E$2:E$38)</f>
        <v>12.686400000000001</v>
      </c>
      <c r="E434">
        <f t="shared" si="14"/>
        <v>0.20095486111111116</v>
      </c>
      <c r="F434">
        <f t="shared" si="13"/>
        <v>-8.3021322732200933E-2</v>
      </c>
    </row>
    <row r="435" spans="1:6" x14ac:dyDescent="0.35">
      <c r="A435" s="16">
        <v>45898</v>
      </c>
      <c r="B435" t="s">
        <v>7</v>
      </c>
      <c r="C435" s="3">
        <v>15.69</v>
      </c>
      <c r="D435" s="8">
        <f>LOOKUP(EOMONTH(A435,0),Target_Prices!A$2:A$38,Target_Prices!E$2:E$38)</f>
        <v>12.686400000000001</v>
      </c>
      <c r="E435">
        <f t="shared" si="14"/>
        <v>0.13408023129743385</v>
      </c>
      <c r="F435">
        <f t="shared" si="13"/>
        <v>-0.19143403441682594</v>
      </c>
    </row>
    <row r="436" spans="1:6" x14ac:dyDescent="0.35">
      <c r="A436" s="15">
        <v>45930</v>
      </c>
      <c r="B436" t="s">
        <v>7</v>
      </c>
      <c r="C436" s="4">
        <v>15.585000000000001</v>
      </c>
      <c r="D436" s="8">
        <f>LOOKUP(EOMONTH(A436,0),Target_Prices!A$2:A$38,Target_Prices!E$2:E$38)</f>
        <v>16.773900000000001</v>
      </c>
      <c r="E436">
        <f t="shared" si="14"/>
        <v>-6.6921606118546251E-3</v>
      </c>
      <c r="F436">
        <f t="shared" si="13"/>
        <v>7.6284889316650645E-2</v>
      </c>
    </row>
    <row r="437" spans="1:6" x14ac:dyDescent="0.35">
      <c r="A437" s="16">
        <v>45961</v>
      </c>
      <c r="B437" t="s">
        <v>7</v>
      </c>
      <c r="C437" s="3">
        <v>17.954999999999998</v>
      </c>
      <c r="D437" s="8">
        <f>LOOKUP(EOMONTH(A437,0),Target_Prices!A$2:A$38,Target_Prices!E$2:E$38)</f>
        <v>16.773900000000001</v>
      </c>
      <c r="E437">
        <f t="shared" si="14"/>
        <v>0.15206929740134734</v>
      </c>
      <c r="F437">
        <f t="shared" si="13"/>
        <v>-6.5781119465329843E-2</v>
      </c>
    </row>
    <row r="438" spans="1:6" x14ac:dyDescent="0.35">
      <c r="A438" s="15">
        <v>45989</v>
      </c>
      <c r="B438" t="s">
        <v>7</v>
      </c>
      <c r="C438" s="4">
        <v>16.64</v>
      </c>
      <c r="D438" s="8">
        <f>LOOKUP(EOMONTH(A438,0),Target_Prices!A$2:A$38,Target_Prices!E$2:E$38)</f>
        <v>16.773900000000001</v>
      </c>
      <c r="E438">
        <f t="shared" si="14"/>
        <v>-7.3238652186020436E-2</v>
      </c>
      <c r="F438">
        <f t="shared" si="13"/>
        <v>8.0468750000000349E-3</v>
      </c>
    </row>
    <row r="439" spans="1:6" x14ac:dyDescent="0.35">
      <c r="A439" s="16">
        <v>46022</v>
      </c>
      <c r="B439" t="s">
        <v>7</v>
      </c>
      <c r="C439" s="3">
        <v>19.41</v>
      </c>
      <c r="D439" s="8">
        <f>LOOKUP(EOMONTH(A439,0),Target_Prices!A$2:A$38,Target_Prices!E$2:E$38)</f>
        <v>20.4727</v>
      </c>
      <c r="E439">
        <f t="shared" si="14"/>
        <v>0.16646634615384603</v>
      </c>
      <c r="F439">
        <f t="shared" si="13"/>
        <v>5.4750128799587815E-2</v>
      </c>
    </row>
    <row r="440" spans="1:6" x14ac:dyDescent="0.35">
      <c r="A440" s="15">
        <v>46052</v>
      </c>
      <c r="B440" t="s">
        <v>7</v>
      </c>
      <c r="C440" s="4">
        <v>21.56</v>
      </c>
      <c r="D440" s="8">
        <f>LOOKUP(EOMONTH(A440,0),Target_Prices!A$2:A$38,Target_Prices!E$2:E$38)</f>
        <v>20.4727</v>
      </c>
      <c r="E440">
        <f t="shared" si="14"/>
        <v>0.11076764554353424</v>
      </c>
      <c r="F440">
        <f t="shared" si="13"/>
        <v>-5.0431354359925747E-2</v>
      </c>
    </row>
    <row r="441" spans="1:6" s="11" customFormat="1" x14ac:dyDescent="0.35">
      <c r="A441" s="15">
        <v>46080</v>
      </c>
      <c r="B441" s="13" t="s">
        <v>7</v>
      </c>
      <c r="C441" s="3">
        <v>21.18</v>
      </c>
      <c r="D441" s="8">
        <f>LOOKUP(EOMONTH(A441,0),Target_Prices!A$2:A$38,Target_Prices!E$2:E$38)</f>
        <v>20.4727</v>
      </c>
      <c r="E441">
        <f t="shared" si="14"/>
        <v>-1.7625231910946115E-2</v>
      </c>
      <c r="F441">
        <f t="shared" si="13"/>
        <v>-3.3394711992445703E-2</v>
      </c>
    </row>
    <row r="442" spans="1:6" x14ac:dyDescent="0.35">
      <c r="A442" s="15">
        <v>42766</v>
      </c>
      <c r="B442" t="s">
        <v>8</v>
      </c>
      <c r="C442" s="4">
        <v>1.9093267</v>
      </c>
      <c r="D442" s="8">
        <f>LOOKUP(EOMONTH(A442,0),Target_Prices!A$2:A$38,Target_Prices!F$2:F$38)</f>
        <v>1.90462</v>
      </c>
      <c r="F442">
        <f t="shared" si="13"/>
        <v>-2.4651098211741678E-3</v>
      </c>
    </row>
    <row r="443" spans="1:6" x14ac:dyDescent="0.35">
      <c r="A443" s="16">
        <v>42794</v>
      </c>
      <c r="B443" t="s">
        <v>8</v>
      </c>
      <c r="C443" s="3">
        <v>1.8965434000000001</v>
      </c>
      <c r="D443" s="8">
        <f>LOOKUP(EOMONTH(A443,0),Target_Prices!A$2:A$38,Target_Prices!F$2:F$38)</f>
        <v>1.90462</v>
      </c>
      <c r="E443">
        <f>(C443/C442)-1</f>
        <v>-6.6951873663108064E-3</v>
      </c>
      <c r="F443">
        <f t="shared" si="13"/>
        <v>4.2585896004277458E-3</v>
      </c>
    </row>
    <row r="444" spans="1:6" x14ac:dyDescent="0.35">
      <c r="A444" s="15">
        <v>42825</v>
      </c>
      <c r="B444" t="s">
        <v>8</v>
      </c>
      <c r="C444" s="4">
        <v>1.8757992999999999</v>
      </c>
      <c r="D444" s="8">
        <f>LOOKUP(EOMONTH(A444,0),Target_Prices!A$2:A$38,Target_Prices!F$2:F$38)</f>
        <v>1.9431400000000001</v>
      </c>
      <c r="E444">
        <f t="shared" ref="E444:E507" si="15">(C444/C443)-1</f>
        <v>-1.0937846189019496E-2</v>
      </c>
      <c r="F444">
        <f t="shared" si="13"/>
        <v>3.589973618179735E-2</v>
      </c>
    </row>
    <row r="445" spans="1:6" x14ac:dyDescent="0.35">
      <c r="A445" s="16">
        <v>42853</v>
      </c>
      <c r="B445" t="s">
        <v>8</v>
      </c>
      <c r="C445" s="3">
        <v>2.0352744999999999</v>
      </c>
      <c r="D445" s="8">
        <f>LOOKUP(EOMONTH(A445,0),Target_Prices!A$2:A$38,Target_Prices!F$2:F$38)</f>
        <v>1.9431400000000001</v>
      </c>
      <c r="E445">
        <f t="shared" si="15"/>
        <v>8.5017197735386629E-2</v>
      </c>
      <c r="F445">
        <f t="shared" si="13"/>
        <v>-4.5268832287733075E-2</v>
      </c>
    </row>
    <row r="446" spans="1:6" x14ac:dyDescent="0.35">
      <c r="A446" s="15">
        <v>42886</v>
      </c>
      <c r="B446" t="s">
        <v>8</v>
      </c>
      <c r="C446" s="4">
        <v>2.0796947000000001</v>
      </c>
      <c r="D446" s="8">
        <f>LOOKUP(EOMONTH(A446,0),Target_Prices!A$2:A$38,Target_Prices!F$2:F$38)</f>
        <v>1.9431400000000001</v>
      </c>
      <c r="E446">
        <f t="shared" si="15"/>
        <v>2.182516412405322E-2</v>
      </c>
      <c r="F446">
        <f t="shared" si="13"/>
        <v>-6.5660935713304475E-2</v>
      </c>
    </row>
    <row r="447" spans="1:6" x14ac:dyDescent="0.35">
      <c r="A447" s="16">
        <v>42916</v>
      </c>
      <c r="B447" t="s">
        <v>8</v>
      </c>
      <c r="C447" s="3">
        <v>2.0673020000000002</v>
      </c>
      <c r="D447" s="8">
        <f>LOOKUP(EOMONTH(A447,0),Target_Prices!A$2:A$38,Target_Prices!F$2:F$38)</f>
        <v>2.20316</v>
      </c>
      <c r="E447">
        <f t="shared" si="15"/>
        <v>-5.9589034871320168E-3</v>
      </c>
      <c r="F447">
        <f t="shared" si="13"/>
        <v>6.5717539092014512E-2</v>
      </c>
    </row>
    <row r="448" spans="1:6" x14ac:dyDescent="0.35">
      <c r="A448" s="15">
        <v>42947</v>
      </c>
      <c r="B448" t="s">
        <v>8</v>
      </c>
      <c r="C448" s="4">
        <v>2.0197672999999998</v>
      </c>
      <c r="D448" s="8">
        <f>LOOKUP(EOMONTH(A448,0),Target_Prices!A$2:A$38,Target_Prices!F$2:F$38)</f>
        <v>2.20316</v>
      </c>
      <c r="E448">
        <f t="shared" si="15"/>
        <v>-2.2993592614915626E-2</v>
      </c>
      <c r="F448">
        <f t="shared" si="13"/>
        <v>9.0798925202918282E-2</v>
      </c>
    </row>
    <row r="449" spans="1:6" x14ac:dyDescent="0.35">
      <c r="A449" s="16">
        <v>42978</v>
      </c>
      <c r="B449" t="s">
        <v>8</v>
      </c>
      <c r="C449" s="3">
        <v>1.9330388000000001</v>
      </c>
      <c r="D449" s="8">
        <f>LOOKUP(EOMONTH(A449,0),Target_Prices!A$2:A$38,Target_Prices!F$2:F$38)</f>
        <v>2.20316</v>
      </c>
      <c r="E449">
        <f t="shared" si="15"/>
        <v>-4.2939847575510171E-2</v>
      </c>
      <c r="F449">
        <f t="shared" si="13"/>
        <v>0.13973915060577158</v>
      </c>
    </row>
    <row r="450" spans="1:6" x14ac:dyDescent="0.35">
      <c r="A450" s="15">
        <v>43007</v>
      </c>
      <c r="B450" t="s">
        <v>8</v>
      </c>
      <c r="C450" s="4">
        <v>2.1257514999999998</v>
      </c>
      <c r="D450" s="8">
        <f>LOOKUP(EOMONTH(A450,0),Target_Prices!A$2:A$38,Target_Prices!F$2:F$38)</f>
        <v>2.0652400000000002</v>
      </c>
      <c r="E450">
        <f t="shared" si="15"/>
        <v>9.9694170649859526E-2</v>
      </c>
      <c r="F450">
        <f t="shared" si="13"/>
        <v>-2.8465933106480042E-2</v>
      </c>
    </row>
    <row r="451" spans="1:6" x14ac:dyDescent="0.35">
      <c r="A451" s="16">
        <v>43039</v>
      </c>
      <c r="B451" t="s">
        <v>8</v>
      </c>
      <c r="C451" s="3">
        <v>2.1468349999999998</v>
      </c>
      <c r="D451" s="8">
        <f>LOOKUP(EOMONTH(A451,0),Target_Prices!A$2:A$38,Target_Prices!F$2:F$38)</f>
        <v>2.0652400000000002</v>
      </c>
      <c r="E451">
        <f t="shared" si="15"/>
        <v>9.9181395379468462E-3</v>
      </c>
      <c r="F451">
        <f t="shared" ref="F451:F514" si="16">(D451-C451)/C451</f>
        <v>-3.8007112796279011E-2</v>
      </c>
    </row>
    <row r="452" spans="1:6" x14ac:dyDescent="0.35">
      <c r="A452" s="15">
        <v>43069</v>
      </c>
      <c r="B452" t="s">
        <v>8</v>
      </c>
      <c r="C452" s="4">
        <v>2.0076513</v>
      </c>
      <c r="D452" s="8">
        <f>LOOKUP(EOMONTH(A452,0),Target_Prices!A$2:A$38,Target_Prices!F$2:F$38)</f>
        <v>2.0652400000000002</v>
      </c>
      <c r="E452">
        <f t="shared" si="15"/>
        <v>-6.4832043450008925E-2</v>
      </c>
      <c r="F452">
        <f t="shared" si="16"/>
        <v>2.8684612711380786E-2</v>
      </c>
    </row>
    <row r="453" spans="1:6" x14ac:dyDescent="0.35">
      <c r="A453" s="16">
        <v>43098</v>
      </c>
      <c r="B453" t="s">
        <v>8</v>
      </c>
      <c r="C453" s="3">
        <v>1.9986675</v>
      </c>
      <c r="D453" s="8">
        <f>LOOKUP(EOMONTH(A453,0),Target_Prices!A$2:A$38,Target_Prices!F$2:F$38)</f>
        <v>1.9791700000000001</v>
      </c>
      <c r="E453">
        <f t="shared" si="15"/>
        <v>-4.4747810538613431E-3</v>
      </c>
      <c r="F453">
        <f t="shared" si="16"/>
        <v>-9.7552494349359992E-3</v>
      </c>
    </row>
    <row r="454" spans="1:6" x14ac:dyDescent="0.35">
      <c r="A454" s="15">
        <v>43131</v>
      </c>
      <c r="B454" t="s">
        <v>8</v>
      </c>
      <c r="C454" s="4">
        <v>1.9596834999999999</v>
      </c>
      <c r="D454" s="8">
        <f>LOOKUP(EOMONTH(A454,0),Target_Prices!A$2:A$38,Target_Prices!F$2:F$38)</f>
        <v>1.9791700000000001</v>
      </c>
      <c r="E454">
        <f t="shared" si="15"/>
        <v>-1.9504995203054154E-2</v>
      </c>
      <c r="F454">
        <f t="shared" si="16"/>
        <v>9.9436975409550495E-3</v>
      </c>
    </row>
    <row r="455" spans="1:6" x14ac:dyDescent="0.35">
      <c r="A455" s="16">
        <v>43159</v>
      </c>
      <c r="B455" t="s">
        <v>8</v>
      </c>
      <c r="C455" s="3">
        <v>1.9464823</v>
      </c>
      <c r="D455" s="8">
        <f>LOOKUP(EOMONTH(A455,0),Target_Prices!A$2:A$38,Target_Prices!F$2:F$38)</f>
        <v>1.9791700000000001</v>
      </c>
      <c r="E455">
        <f t="shared" si="15"/>
        <v>-6.7363939125884009E-3</v>
      </c>
      <c r="F455">
        <f t="shared" si="16"/>
        <v>1.6793217179524363E-2</v>
      </c>
    </row>
    <row r="456" spans="1:6" x14ac:dyDescent="0.35">
      <c r="A456" s="15">
        <v>43189</v>
      </c>
      <c r="B456" t="s">
        <v>8</v>
      </c>
      <c r="C456" s="4">
        <v>1.9180081</v>
      </c>
      <c r="D456" s="8">
        <f>LOOKUP(EOMONTH(A456,0),Target_Prices!A$2:A$38,Target_Prices!F$2:F$38)</f>
        <v>1.9515</v>
      </c>
      <c r="E456">
        <f t="shared" si="15"/>
        <v>-1.4628542987521698E-2</v>
      </c>
      <c r="F456">
        <f t="shared" si="16"/>
        <v>1.746181363884752E-2</v>
      </c>
    </row>
    <row r="457" spans="1:6" x14ac:dyDescent="0.35">
      <c r="A457" s="16">
        <v>43220</v>
      </c>
      <c r="B457" t="s">
        <v>8</v>
      </c>
      <c r="C457" s="3">
        <v>2.1205509999999999</v>
      </c>
      <c r="D457" s="8">
        <f>LOOKUP(EOMONTH(A457,0),Target_Prices!A$2:A$38,Target_Prices!F$2:F$38)</f>
        <v>1.9515</v>
      </c>
      <c r="E457">
        <f t="shared" si="15"/>
        <v>0.10560064892322396</v>
      </c>
      <c r="F457">
        <f t="shared" si="16"/>
        <v>-7.9720317973960467E-2</v>
      </c>
    </row>
    <row r="458" spans="1:6" x14ac:dyDescent="0.35">
      <c r="A458" s="15">
        <v>43251</v>
      </c>
      <c r="B458" t="s">
        <v>8</v>
      </c>
      <c r="C458" s="4">
        <v>2.1742625000000002</v>
      </c>
      <c r="D458" s="8">
        <f>LOOKUP(EOMONTH(A458,0),Target_Prices!A$2:A$38,Target_Prices!F$2:F$38)</f>
        <v>1.9515</v>
      </c>
      <c r="E458">
        <f t="shared" si="15"/>
        <v>2.5329030049265677E-2</v>
      </c>
      <c r="F458">
        <f t="shared" si="16"/>
        <v>-0.10245428047441382</v>
      </c>
    </row>
    <row r="459" spans="1:6" x14ac:dyDescent="0.35">
      <c r="A459" s="16">
        <v>43280</v>
      </c>
      <c r="B459" t="s">
        <v>8</v>
      </c>
      <c r="C459" s="3">
        <v>2.3011224000000001</v>
      </c>
      <c r="D459" s="8">
        <f>LOOKUP(EOMONTH(A459,0),Target_Prices!A$2:A$38,Target_Prices!F$2:F$38)</f>
        <v>2.1142699999999999</v>
      </c>
      <c r="E459">
        <f t="shared" si="15"/>
        <v>5.8346174852392352E-2</v>
      </c>
      <c r="F459">
        <f t="shared" si="16"/>
        <v>-8.1200548045597329E-2</v>
      </c>
    </row>
    <row r="460" spans="1:6" x14ac:dyDescent="0.35">
      <c r="A460" s="15">
        <v>43312</v>
      </c>
      <c r="B460" t="s">
        <v>8</v>
      </c>
      <c r="C460" s="4">
        <v>2.4040186000000001</v>
      </c>
      <c r="D460" s="8">
        <f>LOOKUP(EOMONTH(A460,0),Target_Prices!A$2:A$38,Target_Prices!F$2:F$38)</f>
        <v>2.1142699999999999</v>
      </c>
      <c r="E460">
        <f t="shared" si="15"/>
        <v>4.4715657020243604E-2</v>
      </c>
      <c r="F460">
        <f t="shared" si="16"/>
        <v>-0.12052677129869138</v>
      </c>
    </row>
    <row r="461" spans="1:6" x14ac:dyDescent="0.35">
      <c r="A461" s="16">
        <v>43343</v>
      </c>
      <c r="B461" t="s">
        <v>8</v>
      </c>
      <c r="C461" s="3">
        <v>2.4752455000000002</v>
      </c>
      <c r="D461" s="8">
        <f>LOOKUP(EOMONTH(A461,0),Target_Prices!A$2:A$38,Target_Prices!F$2:F$38)</f>
        <v>2.1142699999999999</v>
      </c>
      <c r="E461">
        <f t="shared" si="15"/>
        <v>2.9628264939381088E-2</v>
      </c>
      <c r="F461">
        <f t="shared" si="16"/>
        <v>-0.14583422129239315</v>
      </c>
    </row>
    <row r="462" spans="1:6" x14ac:dyDescent="0.35">
      <c r="A462" s="15">
        <v>43371</v>
      </c>
      <c r="B462" t="s">
        <v>8</v>
      </c>
      <c r="C462" s="4">
        <v>2.5775812</v>
      </c>
      <c r="D462" s="8">
        <f>LOOKUP(EOMONTH(A462,0),Target_Prices!A$2:A$38,Target_Prices!F$2:F$38)</f>
        <v>2.2715900000000002</v>
      </c>
      <c r="E462">
        <f t="shared" si="15"/>
        <v>4.1343656619110991E-2</v>
      </c>
      <c r="F462">
        <f t="shared" si="16"/>
        <v>-0.11871253561284502</v>
      </c>
    </row>
    <row r="463" spans="1:6" x14ac:dyDescent="0.35">
      <c r="A463" s="16">
        <v>43404</v>
      </c>
      <c r="B463" t="s">
        <v>8</v>
      </c>
      <c r="C463" s="3">
        <v>2.3074170000000001</v>
      </c>
      <c r="D463" s="8">
        <f>LOOKUP(EOMONTH(A463,0),Target_Prices!A$2:A$38,Target_Prices!F$2:F$38)</f>
        <v>2.2715900000000002</v>
      </c>
      <c r="E463">
        <f t="shared" si="15"/>
        <v>-0.10481307048639243</v>
      </c>
      <c r="F463">
        <f t="shared" si="16"/>
        <v>-1.5526885690796173E-2</v>
      </c>
    </row>
    <row r="464" spans="1:6" x14ac:dyDescent="0.35">
      <c r="A464" s="15">
        <v>43434</v>
      </c>
      <c r="B464" t="s">
        <v>8</v>
      </c>
      <c r="C464" s="4">
        <v>2.2882717000000001</v>
      </c>
      <c r="D464" s="8">
        <f>LOOKUP(EOMONTH(A464,0),Target_Prices!A$2:A$38,Target_Prices!F$2:F$38)</f>
        <v>2.2715900000000002</v>
      </c>
      <c r="E464">
        <f t="shared" si="15"/>
        <v>-8.2972865329500323E-3</v>
      </c>
      <c r="F464">
        <f t="shared" si="16"/>
        <v>-7.2900870993597086E-3</v>
      </c>
    </row>
    <row r="465" spans="1:6" x14ac:dyDescent="0.35">
      <c r="A465" s="16">
        <v>43465</v>
      </c>
      <c r="B465" t="s">
        <v>8</v>
      </c>
      <c r="C465" s="3">
        <v>2.2129690000000002</v>
      </c>
      <c r="D465" s="8">
        <f>LOOKUP(EOMONTH(A465,0),Target_Prices!A$2:A$38,Target_Prices!F$2:F$38)</f>
        <v>2.3192300000000001</v>
      </c>
      <c r="E465">
        <f t="shared" si="15"/>
        <v>-3.290811139254135E-2</v>
      </c>
      <c r="F465">
        <f t="shared" si="16"/>
        <v>4.8017392019499561E-2</v>
      </c>
    </row>
    <row r="466" spans="1:6" x14ac:dyDescent="0.35">
      <c r="A466" s="15">
        <v>43496</v>
      </c>
      <c r="B466" t="s">
        <v>8</v>
      </c>
      <c r="C466" s="4">
        <v>2.4732048999999998</v>
      </c>
      <c r="D466" s="8">
        <f>LOOKUP(EOMONTH(A466,0),Target_Prices!A$2:A$38,Target_Prices!F$2:F$38)</f>
        <v>2.3192300000000001</v>
      </c>
      <c r="E466">
        <f t="shared" si="15"/>
        <v>0.11759581810680575</v>
      </c>
      <c r="F466">
        <f t="shared" si="16"/>
        <v>-6.2257235540815768E-2</v>
      </c>
    </row>
    <row r="467" spans="1:6" x14ac:dyDescent="0.35">
      <c r="A467" s="16">
        <v>43524</v>
      </c>
      <c r="B467" t="s">
        <v>8</v>
      </c>
      <c r="C467" s="3">
        <v>2.7483122</v>
      </c>
      <c r="D467" s="8">
        <f>LOOKUP(EOMONTH(A467,0),Target_Prices!A$2:A$38,Target_Prices!F$2:F$38)</f>
        <v>2.3192300000000001</v>
      </c>
      <c r="E467">
        <f t="shared" si="15"/>
        <v>0.1112351427089604</v>
      </c>
      <c r="F467">
        <f t="shared" si="16"/>
        <v>-0.15612571235538664</v>
      </c>
    </row>
    <row r="468" spans="1:6" x14ac:dyDescent="0.35">
      <c r="A468" s="15">
        <v>43553</v>
      </c>
      <c r="B468" t="s">
        <v>8</v>
      </c>
      <c r="C468" s="4">
        <v>2.8577203999999998</v>
      </c>
      <c r="D468" s="8">
        <f>LOOKUP(EOMONTH(A468,0),Target_Prices!A$2:A$38,Target_Prices!F$2:F$38)</f>
        <v>2.5924700000000001</v>
      </c>
      <c r="E468">
        <f t="shared" si="15"/>
        <v>3.9809232735640299E-2</v>
      </c>
      <c r="F468">
        <f t="shared" si="16"/>
        <v>-9.281887759208346E-2</v>
      </c>
    </row>
    <row r="469" spans="1:6" x14ac:dyDescent="0.35">
      <c r="A469" s="16">
        <v>43585</v>
      </c>
      <c r="B469" t="s">
        <v>8</v>
      </c>
      <c r="C469" s="3">
        <v>2.9941043999999999</v>
      </c>
      <c r="D469" s="8">
        <f>LOOKUP(EOMONTH(A469,0),Target_Prices!A$2:A$38,Target_Prices!F$2:F$38)</f>
        <v>2.5924700000000001</v>
      </c>
      <c r="E469">
        <f t="shared" si="15"/>
        <v>4.7724752918445024E-2</v>
      </c>
      <c r="F469">
        <f t="shared" si="16"/>
        <v>-0.13414174869787435</v>
      </c>
    </row>
    <row r="470" spans="1:6" x14ac:dyDescent="0.35">
      <c r="A470" s="15">
        <v>43616</v>
      </c>
      <c r="B470" t="s">
        <v>8</v>
      </c>
      <c r="C470" s="4">
        <v>2.8181151999999998</v>
      </c>
      <c r="D470" s="8">
        <f>LOOKUP(EOMONTH(A470,0),Target_Prices!A$2:A$38,Target_Prices!F$2:F$38)</f>
        <v>2.5924700000000001</v>
      </c>
      <c r="E470">
        <f t="shared" si="15"/>
        <v>-5.8778578328798403E-2</v>
      </c>
      <c r="F470">
        <f t="shared" si="16"/>
        <v>-8.0069544353616129E-2</v>
      </c>
    </row>
    <row r="471" spans="1:6" x14ac:dyDescent="0.35">
      <c r="A471" s="16">
        <v>43644</v>
      </c>
      <c r="B471" t="s">
        <v>8</v>
      </c>
      <c r="C471" s="3">
        <v>3.2166809999999999</v>
      </c>
      <c r="D471" s="8">
        <f>LOOKUP(EOMONTH(A471,0),Target_Prices!A$2:A$38,Target_Prices!F$2:F$38)</f>
        <v>2.7514099999999999</v>
      </c>
      <c r="E471">
        <f t="shared" si="15"/>
        <v>0.14142991741430588</v>
      </c>
      <c r="F471">
        <f t="shared" si="16"/>
        <v>-0.14464318967283357</v>
      </c>
    </row>
    <row r="472" spans="1:6" x14ac:dyDescent="0.35">
      <c r="A472" s="15">
        <v>43677</v>
      </c>
      <c r="B472" t="s">
        <v>8</v>
      </c>
      <c r="C472" s="4">
        <v>3.1996026</v>
      </c>
      <c r="D472" s="8">
        <f>LOOKUP(EOMONTH(A472,0),Target_Prices!A$2:A$38,Target_Prices!F$2:F$38)</f>
        <v>2.7514099999999999</v>
      </c>
      <c r="E472">
        <f t="shared" si="15"/>
        <v>-5.3093234921336441E-3</v>
      </c>
      <c r="F472">
        <f t="shared" si="16"/>
        <v>-0.14007758338488663</v>
      </c>
    </row>
    <row r="473" spans="1:6" x14ac:dyDescent="0.35">
      <c r="A473" s="16">
        <v>43707</v>
      </c>
      <c r="B473" t="s">
        <v>8</v>
      </c>
      <c r="C473" s="3">
        <v>2.8426613999999999</v>
      </c>
      <c r="D473" s="8">
        <f>LOOKUP(EOMONTH(A473,0),Target_Prices!A$2:A$38,Target_Prices!F$2:F$38)</f>
        <v>2.7514099999999999</v>
      </c>
      <c r="E473">
        <f t="shared" si="15"/>
        <v>-0.11155797910653031</v>
      </c>
      <c r="F473">
        <f t="shared" si="16"/>
        <v>-3.2100692681864954E-2</v>
      </c>
    </row>
    <row r="474" spans="1:6" x14ac:dyDescent="0.35">
      <c r="A474" s="15">
        <v>43738</v>
      </c>
      <c r="B474" t="s">
        <v>8</v>
      </c>
      <c r="C474" s="4">
        <v>2.9118826000000002</v>
      </c>
      <c r="D474" s="8">
        <f>LOOKUP(EOMONTH(A474,0),Target_Prices!A$2:A$38,Target_Prices!F$2:F$38)</f>
        <v>2.7321300000000002</v>
      </c>
      <c r="E474">
        <f t="shared" si="15"/>
        <v>2.4350842488662261E-2</v>
      </c>
      <c r="F474">
        <f t="shared" si="16"/>
        <v>-6.1730716753484509E-2</v>
      </c>
    </row>
    <row r="475" spans="1:6" x14ac:dyDescent="0.35">
      <c r="A475" s="16">
        <v>43769</v>
      </c>
      <c r="B475" t="s">
        <v>8</v>
      </c>
      <c r="C475" s="3">
        <v>3.0701938000000002</v>
      </c>
      <c r="D475" s="8">
        <f>LOOKUP(EOMONTH(A475,0),Target_Prices!A$2:A$38,Target_Prices!F$2:F$38)</f>
        <v>2.7321300000000002</v>
      </c>
      <c r="E475">
        <f t="shared" si="15"/>
        <v>5.4367301758663E-2</v>
      </c>
      <c r="F475">
        <f t="shared" si="16"/>
        <v>-0.1101115506128636</v>
      </c>
    </row>
    <row r="476" spans="1:6" x14ac:dyDescent="0.35">
      <c r="A476" s="15">
        <v>43798</v>
      </c>
      <c r="B476" t="s">
        <v>8</v>
      </c>
      <c r="C476" s="4">
        <v>3.4677962999999998</v>
      </c>
      <c r="D476" s="8">
        <f>LOOKUP(EOMONTH(A476,0),Target_Prices!A$2:A$38,Target_Prices!F$2:F$38)</f>
        <v>2.7321300000000002</v>
      </c>
      <c r="E476">
        <f t="shared" si="15"/>
        <v>0.12950403977755398</v>
      </c>
      <c r="F476">
        <f t="shared" si="16"/>
        <v>-0.21214230489835856</v>
      </c>
    </row>
    <row r="477" spans="1:6" x14ac:dyDescent="0.35">
      <c r="A477" s="16">
        <v>43830</v>
      </c>
      <c r="B477" t="s">
        <v>8</v>
      </c>
      <c r="C477" s="3">
        <v>3.888687</v>
      </c>
      <c r="D477" s="8">
        <f>LOOKUP(EOMONTH(A477,0),Target_Prices!A$2:A$38,Target_Prices!F$2:F$38)</f>
        <v>2.9965600000000001</v>
      </c>
      <c r="E477">
        <f t="shared" si="15"/>
        <v>0.12137122933085776</v>
      </c>
      <c r="F477">
        <f t="shared" si="16"/>
        <v>-0.22941599568183293</v>
      </c>
    </row>
    <row r="478" spans="1:6" x14ac:dyDescent="0.35">
      <c r="A478" s="15">
        <v>43861</v>
      </c>
      <c r="B478" t="s">
        <v>8</v>
      </c>
      <c r="C478" s="4">
        <v>3.9109487999999999</v>
      </c>
      <c r="D478" s="8">
        <f>LOOKUP(EOMONTH(A478,0),Target_Prices!A$2:A$38,Target_Prices!F$2:F$38)</f>
        <v>2.9965600000000001</v>
      </c>
      <c r="E478">
        <f t="shared" si="15"/>
        <v>5.7247600539718224E-3</v>
      </c>
      <c r="F478">
        <f t="shared" si="16"/>
        <v>-0.23380229370427957</v>
      </c>
    </row>
    <row r="479" spans="1:6" x14ac:dyDescent="0.35">
      <c r="A479" s="16">
        <v>43889</v>
      </c>
      <c r="B479" t="s">
        <v>8</v>
      </c>
      <c r="C479" s="3">
        <v>3.6480299999999999</v>
      </c>
      <c r="D479" s="8">
        <f>LOOKUP(EOMONTH(A479,0),Target_Prices!A$2:A$38,Target_Prices!F$2:F$38)</f>
        <v>2.9965600000000001</v>
      </c>
      <c r="E479">
        <f t="shared" si="15"/>
        <v>-6.7226346711570351E-2</v>
      </c>
      <c r="F479">
        <f t="shared" si="16"/>
        <v>-0.17858131649136652</v>
      </c>
    </row>
    <row r="480" spans="1:6" x14ac:dyDescent="0.35">
      <c r="A480" s="15">
        <v>43921</v>
      </c>
      <c r="B480" t="s">
        <v>8</v>
      </c>
      <c r="C480" s="4">
        <v>3.3252928000000002</v>
      </c>
      <c r="D480" s="8">
        <f>LOOKUP(EOMONTH(A480,0),Target_Prices!A$2:A$38,Target_Prices!F$2:F$38)</f>
        <v>3.5184600000000001</v>
      </c>
      <c r="E480">
        <f t="shared" si="15"/>
        <v>-8.8468899652689226E-2</v>
      </c>
      <c r="F480">
        <f t="shared" si="16"/>
        <v>5.8090283057179198E-2</v>
      </c>
    </row>
    <row r="481" spans="1:6" x14ac:dyDescent="0.35">
      <c r="A481" s="16">
        <v>43951</v>
      </c>
      <c r="B481" t="s">
        <v>8</v>
      </c>
      <c r="C481" s="3">
        <v>4.2729892999999999</v>
      </c>
      <c r="D481" s="8">
        <f>LOOKUP(EOMONTH(A481,0),Target_Prices!A$2:A$38,Target_Prices!F$2:F$38)</f>
        <v>3.5184600000000001</v>
      </c>
      <c r="E481">
        <f t="shared" si="15"/>
        <v>0.28499640693294737</v>
      </c>
      <c r="F481">
        <f t="shared" si="16"/>
        <v>-0.17658113489776345</v>
      </c>
    </row>
    <row r="482" spans="1:6" x14ac:dyDescent="0.35">
      <c r="A482" s="15">
        <v>43980</v>
      </c>
      <c r="B482" t="s">
        <v>8</v>
      </c>
      <c r="C482" s="4">
        <v>4.9873513999999997</v>
      </c>
      <c r="D482" s="8">
        <f>LOOKUP(EOMONTH(A482,0),Target_Prices!A$2:A$38,Target_Prices!F$2:F$38)</f>
        <v>3.5184600000000001</v>
      </c>
      <c r="E482">
        <f t="shared" si="15"/>
        <v>0.16718087733100573</v>
      </c>
      <c r="F482">
        <f t="shared" si="16"/>
        <v>-0.29452334158768112</v>
      </c>
    </row>
    <row r="483" spans="1:6" x14ac:dyDescent="0.35">
      <c r="A483" s="16">
        <v>44012</v>
      </c>
      <c r="B483" t="s">
        <v>8</v>
      </c>
      <c r="C483" s="3">
        <v>4.9192486000000004</v>
      </c>
      <c r="D483" s="8">
        <f>LOOKUP(EOMONTH(A483,0),Target_Prices!A$2:A$38,Target_Prices!F$2:F$38)</f>
        <v>4.2606400000000004</v>
      </c>
      <c r="E483">
        <f t="shared" si="15"/>
        <v>-1.3655103588650075E-2</v>
      </c>
      <c r="F483">
        <f t="shared" si="16"/>
        <v>-0.13388398382631037</v>
      </c>
    </row>
    <row r="484" spans="1:6" x14ac:dyDescent="0.35">
      <c r="A484" s="15">
        <v>44043</v>
      </c>
      <c r="B484" t="s">
        <v>8</v>
      </c>
      <c r="C484" s="4">
        <v>5.0775065000000001</v>
      </c>
      <c r="D484" s="8">
        <f>LOOKUP(EOMONTH(A484,0),Target_Prices!A$2:A$38,Target_Prices!F$2:F$38)</f>
        <v>4.2606400000000004</v>
      </c>
      <c r="E484">
        <f t="shared" si="15"/>
        <v>3.2171153130988284E-2</v>
      </c>
      <c r="F484">
        <f t="shared" si="16"/>
        <v>-0.16087945923850608</v>
      </c>
    </row>
    <row r="485" spans="1:6" x14ac:dyDescent="0.35">
      <c r="A485" s="16">
        <v>44074</v>
      </c>
      <c r="B485" t="s">
        <v>8</v>
      </c>
      <c r="C485" s="3">
        <v>5.8894760000000002</v>
      </c>
      <c r="D485" s="8">
        <f>LOOKUP(EOMONTH(A485,0),Target_Prices!A$2:A$38,Target_Prices!F$2:F$38)</f>
        <v>4.2606400000000004</v>
      </c>
      <c r="E485">
        <f t="shared" si="15"/>
        <v>0.15991500946379889</v>
      </c>
      <c r="F485">
        <f t="shared" si="16"/>
        <v>-0.27656721922289856</v>
      </c>
    </row>
    <row r="486" spans="1:6" x14ac:dyDescent="0.35">
      <c r="A486" s="15">
        <v>44104</v>
      </c>
      <c r="B486" t="s">
        <v>8</v>
      </c>
      <c r="C486" s="4">
        <v>5.5048884999999999</v>
      </c>
      <c r="D486" s="8">
        <f>LOOKUP(EOMONTH(A486,0),Target_Prices!A$2:A$38,Target_Prices!F$2:F$38)</f>
        <v>5.2404799999999998</v>
      </c>
      <c r="E486">
        <f t="shared" si="15"/>
        <v>-6.5300800954108729E-2</v>
      </c>
      <c r="F486">
        <f t="shared" si="16"/>
        <v>-4.8031581384436771E-2</v>
      </c>
    </row>
    <row r="487" spans="1:6" x14ac:dyDescent="0.35">
      <c r="A487" s="16">
        <v>44134</v>
      </c>
      <c r="B487" t="s">
        <v>8</v>
      </c>
      <c r="C487" s="3">
        <v>5.1743240000000004</v>
      </c>
      <c r="D487" s="8">
        <f>LOOKUP(EOMONTH(A487,0),Target_Prices!A$2:A$38,Target_Prices!F$2:F$38)</f>
        <v>5.2404799999999998</v>
      </c>
      <c r="E487">
        <f t="shared" si="15"/>
        <v>-6.0049263486444682E-2</v>
      </c>
      <c r="F487">
        <f t="shared" si="16"/>
        <v>1.2785438252417018E-2</v>
      </c>
    </row>
    <row r="488" spans="1:6" x14ac:dyDescent="0.35">
      <c r="A488" s="15">
        <v>44165</v>
      </c>
      <c r="B488" t="s">
        <v>8</v>
      </c>
      <c r="C488" s="4">
        <v>5.9058130000000002</v>
      </c>
      <c r="D488" s="8">
        <f>LOOKUP(EOMONTH(A488,0),Target_Prices!A$2:A$38,Target_Prices!F$2:F$38)</f>
        <v>5.2404799999999998</v>
      </c>
      <c r="E488">
        <f t="shared" si="15"/>
        <v>0.14136899815318871</v>
      </c>
      <c r="F488">
        <f t="shared" si="16"/>
        <v>-0.1126573089936983</v>
      </c>
    </row>
    <row r="489" spans="1:6" x14ac:dyDescent="0.35">
      <c r="A489" s="16">
        <v>44196</v>
      </c>
      <c r="B489" t="s">
        <v>8</v>
      </c>
      <c r="C489" s="3">
        <v>6.6966204999999999</v>
      </c>
      <c r="D489" s="8">
        <f>LOOKUP(EOMONTH(A489,0),Target_Prices!A$2:A$38,Target_Prices!F$2:F$38)</f>
        <v>5.73156</v>
      </c>
      <c r="E489">
        <f t="shared" si="15"/>
        <v>0.13390324075618376</v>
      </c>
      <c r="F489">
        <f t="shared" si="16"/>
        <v>-0.14411157090356247</v>
      </c>
    </row>
    <row r="490" spans="1:6" x14ac:dyDescent="0.35">
      <c r="A490" s="15">
        <v>44225</v>
      </c>
      <c r="B490" t="s">
        <v>8</v>
      </c>
      <c r="C490" s="4">
        <v>6.9041085000000004</v>
      </c>
      <c r="D490" s="8">
        <f>LOOKUP(EOMONTH(A490,0),Target_Prices!A$2:A$38,Target_Prices!F$2:F$38)</f>
        <v>5.73156</v>
      </c>
      <c r="E490">
        <f t="shared" si="15"/>
        <v>3.0983986624298021E-2</v>
      </c>
      <c r="F490">
        <f t="shared" si="16"/>
        <v>-0.16983344047967966</v>
      </c>
    </row>
    <row r="491" spans="1:6" x14ac:dyDescent="0.35">
      <c r="A491" s="16">
        <v>44253</v>
      </c>
      <c r="B491" t="s">
        <v>8</v>
      </c>
      <c r="C491" s="3">
        <v>6.5049752999999999</v>
      </c>
      <c r="D491" s="8">
        <f>LOOKUP(EOMONTH(A491,0),Target_Prices!A$2:A$38,Target_Prices!F$2:F$38)</f>
        <v>5.73156</v>
      </c>
      <c r="E491">
        <f t="shared" si="15"/>
        <v>-5.7810968642801663E-2</v>
      </c>
      <c r="F491">
        <f t="shared" si="16"/>
        <v>-0.11889596260265584</v>
      </c>
    </row>
    <row r="492" spans="1:6" x14ac:dyDescent="0.35">
      <c r="A492" s="15">
        <v>44286</v>
      </c>
      <c r="B492" t="s">
        <v>8</v>
      </c>
      <c r="C492" s="4">
        <v>6.6085739999999999</v>
      </c>
      <c r="D492" s="8">
        <f>LOOKUP(EOMONTH(A492,0),Target_Prices!A$2:A$38,Target_Prices!F$2:F$38)</f>
        <v>6.3816199999999998</v>
      </c>
      <c r="E492">
        <f t="shared" si="15"/>
        <v>1.5926071233506534E-2</v>
      </c>
      <c r="F492">
        <f t="shared" si="16"/>
        <v>-3.4342355854682129E-2</v>
      </c>
    </row>
    <row r="493" spans="1:6" x14ac:dyDescent="0.35">
      <c r="A493" s="16">
        <v>44316</v>
      </c>
      <c r="B493" t="s">
        <v>8</v>
      </c>
      <c r="C493" s="3">
        <v>7.608778</v>
      </c>
      <c r="D493" s="8">
        <f>LOOKUP(EOMONTH(A493,0),Target_Prices!A$2:A$38,Target_Prices!F$2:F$38)</f>
        <v>6.3816199999999998</v>
      </c>
      <c r="E493">
        <f t="shared" si="15"/>
        <v>0.151349443919369</v>
      </c>
      <c r="F493">
        <f t="shared" si="16"/>
        <v>-0.16128187732642485</v>
      </c>
    </row>
    <row r="494" spans="1:6" x14ac:dyDescent="0.35">
      <c r="A494" s="15">
        <v>44347</v>
      </c>
      <c r="B494" t="s">
        <v>8</v>
      </c>
      <c r="C494" s="4">
        <v>8.8987879999999997</v>
      </c>
      <c r="D494" s="8">
        <f>LOOKUP(EOMONTH(A494,0),Target_Prices!A$2:A$38,Target_Prices!F$2:F$38)</f>
        <v>6.3816199999999998</v>
      </c>
      <c r="E494">
        <f t="shared" si="15"/>
        <v>0.16954233649608375</v>
      </c>
      <c r="F494">
        <f t="shared" si="16"/>
        <v>-0.28286638584939883</v>
      </c>
    </row>
    <row r="495" spans="1:6" x14ac:dyDescent="0.35">
      <c r="A495" s="16">
        <v>44377</v>
      </c>
      <c r="B495" t="s">
        <v>8</v>
      </c>
      <c r="C495" s="3">
        <v>8.875966</v>
      </c>
      <c r="D495" s="8">
        <f>LOOKUP(EOMONTH(A495,0),Target_Prices!A$2:A$38,Target_Prices!F$2:F$38)</f>
        <v>7.5521399999999996</v>
      </c>
      <c r="E495">
        <f t="shared" si="15"/>
        <v>-2.5646189121484309E-3</v>
      </c>
      <c r="F495">
        <f t="shared" si="16"/>
        <v>-0.14914725901383583</v>
      </c>
    </row>
    <row r="496" spans="1:6" x14ac:dyDescent="0.35">
      <c r="A496" s="15">
        <v>44407</v>
      </c>
      <c r="B496" t="s">
        <v>8</v>
      </c>
      <c r="C496" s="4">
        <v>10.075723</v>
      </c>
      <c r="D496" s="8">
        <f>LOOKUP(EOMONTH(A496,0),Target_Prices!A$2:A$38,Target_Prices!F$2:F$38)</f>
        <v>7.5521399999999996</v>
      </c>
      <c r="E496">
        <f t="shared" si="15"/>
        <v>0.13516917482559077</v>
      </c>
      <c r="F496">
        <f t="shared" si="16"/>
        <v>-0.25046172865212751</v>
      </c>
    </row>
    <row r="497" spans="1:6" x14ac:dyDescent="0.35">
      <c r="A497" s="16">
        <v>44439</v>
      </c>
      <c r="B497" t="s">
        <v>8</v>
      </c>
      <c r="C497" s="3">
        <v>11.797015999999999</v>
      </c>
      <c r="D497" s="8">
        <f>LOOKUP(EOMONTH(A497,0),Target_Prices!A$2:A$38,Target_Prices!F$2:F$38)</f>
        <v>7.5521399999999996</v>
      </c>
      <c r="E497">
        <f t="shared" si="15"/>
        <v>0.17083568097296831</v>
      </c>
      <c r="F497">
        <f t="shared" si="16"/>
        <v>-0.35982624758667786</v>
      </c>
    </row>
    <row r="498" spans="1:6" x14ac:dyDescent="0.35">
      <c r="A498" s="15">
        <v>44469</v>
      </c>
      <c r="B498" t="s">
        <v>8</v>
      </c>
      <c r="C498" s="4">
        <v>10.913163000000001</v>
      </c>
      <c r="D498" s="8">
        <f>LOOKUP(EOMONTH(A498,0),Target_Prices!A$2:A$38,Target_Prices!F$2:F$38)</f>
        <v>10.9696</v>
      </c>
      <c r="E498">
        <f t="shared" si="15"/>
        <v>-7.4921742922108292E-2</v>
      </c>
      <c r="F498">
        <f t="shared" si="16"/>
        <v>5.1714612894537505E-3</v>
      </c>
    </row>
    <row r="499" spans="1:6" x14ac:dyDescent="0.35">
      <c r="A499" s="16">
        <v>44498</v>
      </c>
      <c r="B499" t="s">
        <v>8</v>
      </c>
      <c r="C499" s="3">
        <v>12.863413</v>
      </c>
      <c r="D499" s="8">
        <f>LOOKUP(EOMONTH(A499,0),Target_Prices!A$2:A$38,Target_Prices!F$2:F$38)</f>
        <v>10.9696</v>
      </c>
      <c r="E499">
        <f t="shared" si="15"/>
        <v>0.17870621010608922</v>
      </c>
      <c r="F499">
        <f t="shared" si="16"/>
        <v>-0.14722476841877033</v>
      </c>
    </row>
    <row r="500" spans="1:6" x14ac:dyDescent="0.35">
      <c r="A500" s="15">
        <v>44530</v>
      </c>
      <c r="B500" t="s">
        <v>8</v>
      </c>
      <c r="C500" s="4">
        <v>12.629127</v>
      </c>
      <c r="D500" s="8">
        <f>LOOKUP(EOMONTH(A500,0),Target_Prices!A$2:A$38,Target_Prices!F$2:F$38)</f>
        <v>10.9696</v>
      </c>
      <c r="E500">
        <f t="shared" si="15"/>
        <v>-1.8213362192444515E-2</v>
      </c>
      <c r="F500">
        <f t="shared" si="16"/>
        <v>-0.13140472813362322</v>
      </c>
    </row>
    <row r="501" spans="1:6" x14ac:dyDescent="0.35">
      <c r="A501" s="16">
        <v>44561</v>
      </c>
      <c r="B501" t="s">
        <v>8</v>
      </c>
      <c r="C501" s="3">
        <v>13.340033</v>
      </c>
      <c r="D501" s="8">
        <f>LOOKUP(EOMONTH(A501,0),Target_Prices!A$2:A$38,Target_Prices!F$2:F$38)</f>
        <v>11.5326</v>
      </c>
      <c r="E501">
        <f t="shared" si="15"/>
        <v>5.629098511718178E-2</v>
      </c>
      <c r="F501">
        <f t="shared" si="16"/>
        <v>-0.1354893949662643</v>
      </c>
    </row>
    <row r="502" spans="1:6" x14ac:dyDescent="0.35">
      <c r="A502" s="15">
        <v>44592</v>
      </c>
      <c r="B502" t="s">
        <v>8</v>
      </c>
      <c r="C502" s="4">
        <v>8.3681160000000006</v>
      </c>
      <c r="D502" s="8">
        <f>LOOKUP(EOMONTH(A502,0),Target_Prices!A$2:A$38,Target_Prices!F$2:F$38)</f>
        <v>11.5326</v>
      </c>
      <c r="E502">
        <f t="shared" si="15"/>
        <v>-0.37270649930176336</v>
      </c>
      <c r="F502">
        <f t="shared" si="16"/>
        <v>0.3781596717827525</v>
      </c>
    </row>
    <row r="503" spans="1:6" x14ac:dyDescent="0.35">
      <c r="A503" s="16">
        <v>44620</v>
      </c>
      <c r="B503" t="s">
        <v>8</v>
      </c>
      <c r="C503" s="3">
        <v>8.0105749999999993</v>
      </c>
      <c r="D503" s="8">
        <f>LOOKUP(EOMONTH(A503,0),Target_Prices!A$2:A$38,Target_Prices!F$2:F$38)</f>
        <v>11.5326</v>
      </c>
      <c r="E503">
        <f t="shared" si="15"/>
        <v>-4.2726582662095169E-2</v>
      </c>
      <c r="F503">
        <f t="shared" si="16"/>
        <v>0.43967193366268981</v>
      </c>
    </row>
    <row r="504" spans="1:6" x14ac:dyDescent="0.35">
      <c r="A504" s="15">
        <v>44651</v>
      </c>
      <c r="B504" t="s">
        <v>8</v>
      </c>
      <c r="C504" s="4">
        <v>10.130936</v>
      </c>
      <c r="D504" s="8">
        <f>LOOKUP(EOMONTH(A504,0),Target_Prices!A$2:A$38,Target_Prices!F$2:F$38)</f>
        <v>9.5689100000000007</v>
      </c>
      <c r="E504">
        <f t="shared" si="15"/>
        <v>0.26469523099153314</v>
      </c>
      <c r="F504">
        <f t="shared" si="16"/>
        <v>-5.5476216610192725E-2</v>
      </c>
    </row>
    <row r="505" spans="1:6" x14ac:dyDescent="0.35">
      <c r="A505" s="16">
        <v>44680</v>
      </c>
      <c r="B505" t="s">
        <v>8</v>
      </c>
      <c r="C505" s="3">
        <v>9.4313549999999999</v>
      </c>
      <c r="D505" s="8">
        <f>LOOKUP(EOMONTH(A505,0),Target_Prices!A$2:A$38,Target_Prices!F$2:F$38)</f>
        <v>9.5689100000000007</v>
      </c>
      <c r="E505">
        <f t="shared" si="15"/>
        <v>-6.9053935391557131E-2</v>
      </c>
      <c r="F505">
        <f t="shared" si="16"/>
        <v>1.4584860817984347E-2</v>
      </c>
    </row>
    <row r="506" spans="1:6" x14ac:dyDescent="0.35">
      <c r="A506" s="15">
        <v>44712</v>
      </c>
      <c r="B506" t="s">
        <v>8</v>
      </c>
      <c r="C506" s="4">
        <v>8.1196579999999994</v>
      </c>
      <c r="D506" s="8">
        <f>LOOKUP(EOMONTH(A506,0),Target_Prices!A$2:A$38,Target_Prices!F$2:F$38)</f>
        <v>9.5689100000000007</v>
      </c>
      <c r="E506">
        <f t="shared" si="15"/>
        <v>-0.13907831907504287</v>
      </c>
      <c r="F506">
        <f t="shared" si="16"/>
        <v>0.17848682789349027</v>
      </c>
    </row>
    <row r="507" spans="1:6" x14ac:dyDescent="0.35">
      <c r="A507" s="16">
        <v>44742</v>
      </c>
      <c r="B507" t="s">
        <v>8</v>
      </c>
      <c r="C507" s="3">
        <v>7.1687640000000004</v>
      </c>
      <c r="D507" s="8">
        <f>LOOKUP(EOMONTH(A507,0),Target_Prices!A$2:A$38,Target_Prices!F$2:F$38)</f>
        <v>9.9060500000000005</v>
      </c>
      <c r="E507">
        <f t="shared" si="15"/>
        <v>-0.11711010488372775</v>
      </c>
      <c r="F507">
        <f t="shared" si="16"/>
        <v>0.38183513922344214</v>
      </c>
    </row>
    <row r="508" spans="1:6" x14ac:dyDescent="0.35">
      <c r="A508" s="15">
        <v>44771</v>
      </c>
      <c r="B508" t="s">
        <v>8</v>
      </c>
      <c r="C508" s="4">
        <v>9.7927129999999991</v>
      </c>
      <c r="D508" s="8">
        <f>LOOKUP(EOMONTH(A508,0),Target_Prices!A$2:A$38,Target_Prices!F$2:F$38)</f>
        <v>9.9060500000000005</v>
      </c>
      <c r="E508">
        <f t="shared" ref="E508:E551" si="17">(C508/C507)-1</f>
        <v>0.36602530087473917</v>
      </c>
      <c r="F508">
        <f t="shared" si="16"/>
        <v>1.1573605802600501E-2</v>
      </c>
    </row>
    <row r="509" spans="1:6" x14ac:dyDescent="0.35">
      <c r="A509" s="16">
        <v>44804</v>
      </c>
      <c r="B509" t="s">
        <v>8</v>
      </c>
      <c r="C509" s="3">
        <v>9.3759364999999999</v>
      </c>
      <c r="D509" s="8">
        <f>LOOKUP(EOMONTH(A509,0),Target_Prices!A$2:A$38,Target_Prices!F$2:F$38)</f>
        <v>9.9060500000000005</v>
      </c>
      <c r="E509">
        <f t="shared" si="17"/>
        <v>-4.2559860582046971E-2</v>
      </c>
      <c r="F509">
        <f t="shared" si="16"/>
        <v>5.6539792051706041E-2</v>
      </c>
    </row>
    <row r="510" spans="1:6" x14ac:dyDescent="0.35">
      <c r="A510" s="15">
        <v>44834</v>
      </c>
      <c r="B510" t="s">
        <v>8</v>
      </c>
      <c r="C510" s="4">
        <v>9.2074200000000008</v>
      </c>
      <c r="D510" s="8">
        <f>LOOKUP(EOMONTH(A510,0),Target_Prices!A$2:A$38,Target_Prices!F$2:F$38)</f>
        <v>10.2407</v>
      </c>
      <c r="E510">
        <f t="shared" si="17"/>
        <v>-1.797329792069291E-2</v>
      </c>
      <c r="F510">
        <f t="shared" si="16"/>
        <v>0.11222253356532008</v>
      </c>
    </row>
    <row r="511" spans="1:6" x14ac:dyDescent="0.35">
      <c r="A511" s="16">
        <v>44865</v>
      </c>
      <c r="B511" t="s">
        <v>8</v>
      </c>
      <c r="C511" s="3">
        <v>8.0664999999999996</v>
      </c>
      <c r="D511" s="8">
        <f>LOOKUP(EOMONTH(A511,0),Target_Prices!A$2:A$38,Target_Prices!F$2:F$38)</f>
        <v>10.2407</v>
      </c>
      <c r="E511">
        <f t="shared" si="17"/>
        <v>-0.12391310486542384</v>
      </c>
      <c r="F511">
        <f t="shared" si="16"/>
        <v>0.26953449451434958</v>
      </c>
    </row>
    <row r="512" spans="1:6" x14ac:dyDescent="0.35">
      <c r="A512" s="15">
        <v>44895</v>
      </c>
      <c r="B512" t="s">
        <v>8</v>
      </c>
      <c r="C512" s="4">
        <v>8.9235120000000006</v>
      </c>
      <c r="D512" s="8">
        <f>LOOKUP(EOMONTH(A512,0),Target_Prices!A$2:A$38,Target_Prices!F$2:F$38)</f>
        <v>10.2407</v>
      </c>
      <c r="E512">
        <f t="shared" si="17"/>
        <v>0.10624335213537472</v>
      </c>
      <c r="F512">
        <f t="shared" si="16"/>
        <v>0.14760869935514176</v>
      </c>
    </row>
    <row r="513" spans="1:6" x14ac:dyDescent="0.35">
      <c r="A513" s="16">
        <v>44925</v>
      </c>
      <c r="B513" t="s">
        <v>8</v>
      </c>
      <c r="C513" s="3">
        <v>8.7318479999999994</v>
      </c>
      <c r="D513" s="8">
        <f>LOOKUP(EOMONTH(A513,0),Target_Prices!A$2:A$38,Target_Prices!F$2:F$38)</f>
        <v>9.7420200000000001</v>
      </c>
      <c r="E513">
        <f t="shared" si="17"/>
        <v>-2.1478538942963366E-2</v>
      </c>
      <c r="F513">
        <f t="shared" si="16"/>
        <v>0.11568822544780907</v>
      </c>
    </row>
    <row r="514" spans="1:6" x14ac:dyDescent="0.35">
      <c r="A514" s="15">
        <v>44957</v>
      </c>
      <c r="B514" t="s">
        <v>8</v>
      </c>
      <c r="C514" s="4">
        <v>9.8806340000000006</v>
      </c>
      <c r="D514" s="8">
        <f>LOOKUP(EOMONTH(A514,0),Target_Prices!A$2:A$38,Target_Prices!F$2:F$38)</f>
        <v>9.7420200000000001</v>
      </c>
      <c r="E514">
        <f t="shared" si="17"/>
        <v>0.13156275739110446</v>
      </c>
      <c r="F514">
        <f t="shared" si="16"/>
        <v>-1.402885685270808E-2</v>
      </c>
    </row>
    <row r="515" spans="1:6" x14ac:dyDescent="0.35">
      <c r="A515" s="16">
        <v>44985</v>
      </c>
      <c r="B515" t="s">
        <v>8</v>
      </c>
      <c r="C515" s="3">
        <v>9.801501</v>
      </c>
      <c r="D515" s="8">
        <f>LOOKUP(EOMONTH(A515,0),Target_Prices!A$2:A$38,Target_Prices!F$2:F$38)</f>
        <v>9.7420200000000001</v>
      </c>
      <c r="E515">
        <f t="shared" si="17"/>
        <v>-8.0088990240910762E-3</v>
      </c>
      <c r="F515">
        <f t="shared" ref="F515:F578" si="18">(D515-C515)/C515</f>
        <v>-6.068560315404742E-3</v>
      </c>
    </row>
    <row r="516" spans="1:6" x14ac:dyDescent="0.35">
      <c r="A516" s="15">
        <v>45016</v>
      </c>
      <c r="B516" t="s">
        <v>8</v>
      </c>
      <c r="C516" s="4">
        <v>10.456243000000001</v>
      </c>
      <c r="D516" s="8">
        <f>LOOKUP(EOMONTH(A516,0),Target_Prices!A$2:A$38,Target_Prices!F$2:F$38)</f>
        <v>10.7995</v>
      </c>
      <c r="E516">
        <f t="shared" si="17"/>
        <v>6.680017683005901E-2</v>
      </c>
      <c r="F516">
        <f t="shared" si="18"/>
        <v>3.2827947858518537E-2</v>
      </c>
    </row>
    <row r="517" spans="1:6" x14ac:dyDescent="0.35">
      <c r="A517" s="16">
        <v>45044</v>
      </c>
      <c r="B517" t="s">
        <v>8</v>
      </c>
      <c r="C517" s="3">
        <v>10.111265</v>
      </c>
      <c r="D517" s="8">
        <f>LOOKUP(EOMONTH(A517,0),Target_Prices!A$2:A$38,Target_Prices!F$2:F$38)</f>
        <v>10.7995</v>
      </c>
      <c r="E517">
        <f t="shared" si="17"/>
        <v>-3.2992538524592496E-2</v>
      </c>
      <c r="F517">
        <f t="shared" si="18"/>
        <v>6.8066161850174098E-2</v>
      </c>
    </row>
    <row r="518" spans="1:6" x14ac:dyDescent="0.35">
      <c r="A518" s="15">
        <v>45077</v>
      </c>
      <c r="B518" t="s">
        <v>8</v>
      </c>
      <c r="C518" s="4">
        <v>8.9244120000000002</v>
      </c>
      <c r="D518" s="8">
        <f>LOOKUP(EOMONTH(A518,0),Target_Prices!A$2:A$38,Target_Prices!F$2:F$38)</f>
        <v>10.7995</v>
      </c>
      <c r="E518">
        <f t="shared" si="17"/>
        <v>-0.11737927944723037</v>
      </c>
      <c r="F518">
        <f t="shared" si="18"/>
        <v>0.21010773594943843</v>
      </c>
    </row>
    <row r="519" spans="1:6" x14ac:dyDescent="0.35">
      <c r="A519" s="16">
        <v>45107</v>
      </c>
      <c r="B519" t="s">
        <v>8</v>
      </c>
      <c r="C519" s="3">
        <v>8.6895880000000005</v>
      </c>
      <c r="D519" s="8">
        <f>LOOKUP(EOMONTH(A519,0),Target_Prices!A$2:A$38,Target_Prices!F$2:F$38)</f>
        <v>10.777100000000001</v>
      </c>
      <c r="E519">
        <f t="shared" si="17"/>
        <v>-2.6312545857362868E-2</v>
      </c>
      <c r="F519">
        <f t="shared" si="18"/>
        <v>0.2402314125825068</v>
      </c>
    </row>
    <row r="520" spans="1:6" x14ac:dyDescent="0.35">
      <c r="A520" s="15">
        <v>45138</v>
      </c>
      <c r="B520" t="s">
        <v>8</v>
      </c>
      <c r="C520" s="4">
        <v>8.1777850000000001</v>
      </c>
      <c r="D520" s="8">
        <f>LOOKUP(EOMONTH(A520,0),Target_Prices!A$2:A$38,Target_Prices!F$2:F$38)</f>
        <v>10.777100000000001</v>
      </c>
      <c r="E520">
        <f t="shared" si="17"/>
        <v>-5.889841957984665E-2</v>
      </c>
      <c r="F520">
        <f t="shared" si="18"/>
        <v>0.31785073831116867</v>
      </c>
    </row>
    <row r="521" spans="1:6" x14ac:dyDescent="0.35">
      <c r="A521" s="16">
        <v>45169</v>
      </c>
      <c r="B521" t="s">
        <v>8</v>
      </c>
      <c r="C521" s="3">
        <v>6.9149039999999999</v>
      </c>
      <c r="D521" s="8">
        <f>LOOKUP(EOMONTH(A521,0),Target_Prices!A$2:A$38,Target_Prices!F$2:F$38)</f>
        <v>10.777100000000001</v>
      </c>
      <c r="E521">
        <f t="shared" si="17"/>
        <v>-0.15442824676853206</v>
      </c>
      <c r="F521">
        <f t="shared" si="18"/>
        <v>0.55853212134253793</v>
      </c>
    </row>
    <row r="522" spans="1:6" x14ac:dyDescent="0.35">
      <c r="A522" s="15">
        <v>45198</v>
      </c>
      <c r="B522" t="s">
        <v>8</v>
      </c>
      <c r="C522" s="4">
        <v>6.2421369999999996</v>
      </c>
      <c r="D522" s="8">
        <f>LOOKUP(EOMONTH(A522,0),Target_Prices!A$2:A$38,Target_Prices!F$2:F$38)</f>
        <v>8.0947800000000001</v>
      </c>
      <c r="E522">
        <f t="shared" si="17"/>
        <v>-9.7292312373389422E-2</v>
      </c>
      <c r="F522">
        <f t="shared" si="18"/>
        <v>0.29679627345570925</v>
      </c>
    </row>
    <row r="523" spans="1:6" x14ac:dyDescent="0.35">
      <c r="A523" s="16">
        <v>45230</v>
      </c>
      <c r="B523" t="s">
        <v>8</v>
      </c>
      <c r="C523" s="3">
        <v>5.4346120000000004</v>
      </c>
      <c r="D523" s="8">
        <f>LOOKUP(EOMONTH(A523,0),Target_Prices!A$2:A$38,Target_Prices!F$2:F$38)</f>
        <v>8.0947800000000001</v>
      </c>
      <c r="E523">
        <f t="shared" si="17"/>
        <v>-0.12936675372552686</v>
      </c>
      <c r="F523">
        <f t="shared" si="18"/>
        <v>0.4894862779532374</v>
      </c>
    </row>
    <row r="524" spans="1:6" x14ac:dyDescent="0.35">
      <c r="A524" s="15">
        <v>45260</v>
      </c>
      <c r="B524" t="s">
        <v>8</v>
      </c>
      <c r="C524" s="4">
        <v>5.4191756</v>
      </c>
      <c r="D524" s="8">
        <f>LOOKUP(EOMONTH(A524,0),Target_Prices!A$2:A$38,Target_Prices!F$2:F$38)</f>
        <v>8.0947800000000001</v>
      </c>
      <c r="E524">
        <f t="shared" si="17"/>
        <v>-2.840386765421421E-3</v>
      </c>
      <c r="F524">
        <f t="shared" si="18"/>
        <v>0.49372904616709601</v>
      </c>
    </row>
    <row r="525" spans="1:6" x14ac:dyDescent="0.35">
      <c r="A525" s="16">
        <v>45289</v>
      </c>
      <c r="B525" t="s">
        <v>8</v>
      </c>
      <c r="C525" s="3">
        <v>6.3597593000000003</v>
      </c>
      <c r="D525" s="8">
        <f>LOOKUP(EOMONTH(A525,0),Target_Prices!A$2:A$38,Target_Prices!F$2:F$38)</f>
        <v>7.2759999999999998</v>
      </c>
      <c r="E525">
        <f t="shared" si="17"/>
        <v>0.17356582798313469</v>
      </c>
      <c r="F525">
        <f t="shared" si="18"/>
        <v>0.14406845554673733</v>
      </c>
    </row>
    <row r="526" spans="1:6" x14ac:dyDescent="0.35">
      <c r="A526" s="15">
        <v>45322</v>
      </c>
      <c r="B526" t="s">
        <v>8</v>
      </c>
      <c r="C526" s="4">
        <v>5.5900493000000004</v>
      </c>
      <c r="D526" s="8">
        <f>LOOKUP(EOMONTH(A526,0),Target_Prices!A$2:A$38,Target_Prices!F$2:F$38)</f>
        <v>7.2759999999999998</v>
      </c>
      <c r="E526">
        <f t="shared" si="17"/>
        <v>-0.12102816532694871</v>
      </c>
      <c r="F526">
        <f t="shared" si="18"/>
        <v>0.30159853867478398</v>
      </c>
    </row>
    <row r="527" spans="1:6" x14ac:dyDescent="0.35">
      <c r="A527" s="16">
        <v>45351</v>
      </c>
      <c r="B527" t="s">
        <v>8</v>
      </c>
      <c r="C527" s="3">
        <v>5.1600840000000003</v>
      </c>
      <c r="D527" s="8">
        <f>LOOKUP(EOMONTH(A527,0),Target_Prices!A$2:A$38,Target_Prices!F$2:F$38)</f>
        <v>7.2759999999999998</v>
      </c>
      <c r="E527">
        <f t="shared" si="17"/>
        <v>-7.6916191061141448E-2</v>
      </c>
      <c r="F527">
        <f t="shared" si="18"/>
        <v>0.41005456500320525</v>
      </c>
    </row>
    <row r="528" spans="1:6" x14ac:dyDescent="0.35">
      <c r="A528" s="15">
        <v>45380</v>
      </c>
      <c r="B528" t="s">
        <v>8</v>
      </c>
      <c r="C528" s="4">
        <v>4.5514345</v>
      </c>
      <c r="D528" s="8">
        <f>LOOKUP(EOMONTH(A528,0),Target_Prices!A$2:A$38,Target_Prices!F$2:F$38)</f>
        <v>5.4954499999999999</v>
      </c>
      <c r="E528">
        <f t="shared" si="17"/>
        <v>-0.11795340928558529</v>
      </c>
      <c r="F528">
        <f t="shared" si="18"/>
        <v>0.20741054276404502</v>
      </c>
    </row>
    <row r="529" spans="1:6" x14ac:dyDescent="0.35">
      <c r="A529" s="16">
        <v>45412</v>
      </c>
      <c r="B529" t="s">
        <v>8</v>
      </c>
      <c r="C529" s="3">
        <v>4.3967346999999997</v>
      </c>
      <c r="D529" s="8">
        <f>LOOKUP(EOMONTH(A529,0),Target_Prices!A$2:A$38,Target_Prices!F$2:F$38)</f>
        <v>5.4954499999999999</v>
      </c>
      <c r="E529">
        <f t="shared" si="17"/>
        <v>-3.3989240095622653E-2</v>
      </c>
      <c r="F529">
        <f t="shared" si="18"/>
        <v>0.24989347208054202</v>
      </c>
    </row>
    <row r="530" spans="1:6" x14ac:dyDescent="0.35">
      <c r="A530" s="15">
        <v>45443</v>
      </c>
      <c r="B530" t="s">
        <v>8</v>
      </c>
      <c r="C530" s="4">
        <v>4.6752900000000004</v>
      </c>
      <c r="D530" s="8">
        <f>LOOKUP(EOMONTH(A530,0),Target_Prices!A$2:A$38,Target_Prices!F$2:F$38)</f>
        <v>5.4954499999999999</v>
      </c>
      <c r="E530">
        <f t="shared" si="17"/>
        <v>6.3355039365918797E-2</v>
      </c>
      <c r="F530">
        <f t="shared" si="18"/>
        <v>0.17542441217550131</v>
      </c>
    </row>
    <row r="531" spans="1:6" x14ac:dyDescent="0.35">
      <c r="A531" s="16">
        <v>45471</v>
      </c>
      <c r="B531" t="s">
        <v>8</v>
      </c>
      <c r="C531" s="3">
        <v>3.9594548000000001</v>
      </c>
      <c r="D531" s="8">
        <f>LOOKUP(EOMONTH(A531,0),Target_Prices!A$2:A$38,Target_Prices!F$2:F$38)</f>
        <v>4.7891599999999999</v>
      </c>
      <c r="E531">
        <f t="shared" si="17"/>
        <v>-0.15311033112384476</v>
      </c>
      <c r="F531">
        <f t="shared" si="18"/>
        <v>0.20955036536848451</v>
      </c>
    </row>
    <row r="532" spans="1:6" x14ac:dyDescent="0.35">
      <c r="A532" s="15">
        <v>45504</v>
      </c>
      <c r="B532" t="s">
        <v>8</v>
      </c>
      <c r="C532" s="4">
        <v>4.0534543999999997</v>
      </c>
      <c r="D532" s="8">
        <f>LOOKUP(EOMONTH(A532,0),Target_Prices!A$2:A$38,Target_Prices!F$2:F$38)</f>
        <v>4.7891599999999999</v>
      </c>
      <c r="E532">
        <f t="shared" si="17"/>
        <v>2.3740541248254532E-2</v>
      </c>
      <c r="F532">
        <f t="shared" si="18"/>
        <v>0.18150089464433108</v>
      </c>
    </row>
    <row r="533" spans="1:6" x14ac:dyDescent="0.35">
      <c r="A533" s="16">
        <v>45534</v>
      </c>
      <c r="B533" t="s">
        <v>8</v>
      </c>
      <c r="C533" s="3">
        <v>4.4673862</v>
      </c>
      <c r="D533" s="8">
        <f>LOOKUP(EOMONTH(A533,0),Target_Prices!A$2:A$38,Target_Prices!F$2:F$38)</f>
        <v>4.7891599999999999</v>
      </c>
      <c r="E533">
        <f t="shared" si="17"/>
        <v>0.10211828212499441</v>
      </c>
      <c r="F533">
        <f t="shared" si="18"/>
        <v>7.2027307601030752E-2</v>
      </c>
    </row>
    <row r="534" spans="1:6" x14ac:dyDescent="0.35">
      <c r="A534" s="15">
        <v>45565</v>
      </c>
      <c r="B534" t="s">
        <v>8</v>
      </c>
      <c r="C534" s="4">
        <v>4.9200244</v>
      </c>
      <c r="D534" s="8">
        <f>LOOKUP(EOMONTH(A534,0),Target_Prices!A$2:A$38,Target_Prices!F$2:F$38)</f>
        <v>4.65543</v>
      </c>
      <c r="E534">
        <f t="shared" si="17"/>
        <v>0.10132058875948546</v>
      </c>
      <c r="F534">
        <f t="shared" si="18"/>
        <v>-5.3779082884223096E-2</v>
      </c>
    </row>
    <row r="535" spans="1:6" x14ac:dyDescent="0.35">
      <c r="A535" s="16">
        <v>45596</v>
      </c>
      <c r="B535" t="s">
        <v>8</v>
      </c>
      <c r="C535" s="3">
        <v>4.4281800000000002</v>
      </c>
      <c r="D535" s="8">
        <f>LOOKUP(EOMONTH(A535,0),Target_Prices!A$2:A$38,Target_Prices!F$2:F$38)</f>
        <v>4.65543</v>
      </c>
      <c r="E535">
        <f t="shared" si="17"/>
        <v>-9.9967878208083616E-2</v>
      </c>
      <c r="F535">
        <f t="shared" si="18"/>
        <v>5.1319052071053958E-2</v>
      </c>
    </row>
    <row r="536" spans="1:6" x14ac:dyDescent="0.35">
      <c r="A536" s="15">
        <v>45625</v>
      </c>
      <c r="B536" t="s">
        <v>8</v>
      </c>
      <c r="C536" s="4">
        <v>4.0078076999999999</v>
      </c>
      <c r="D536" s="8">
        <f>LOOKUP(EOMONTH(A536,0),Target_Prices!A$2:A$38,Target_Prices!F$2:F$38)</f>
        <v>4.65543</v>
      </c>
      <c r="E536">
        <f t="shared" si="17"/>
        <v>-9.4931168109697484E-2</v>
      </c>
      <c r="F536">
        <f t="shared" si="18"/>
        <v>0.16159016312085037</v>
      </c>
    </row>
    <row r="537" spans="1:6" x14ac:dyDescent="0.35">
      <c r="A537" s="16">
        <v>45657</v>
      </c>
      <c r="B537" t="s">
        <v>8</v>
      </c>
      <c r="C537" s="3">
        <v>3.7719730999999999</v>
      </c>
      <c r="D537" s="8">
        <f>LOOKUP(EOMONTH(A537,0),Target_Prices!A$2:A$38,Target_Prices!F$2:F$38)</f>
        <v>4.4824599999999997</v>
      </c>
      <c r="E537">
        <f t="shared" si="17"/>
        <v>-5.884379133260309E-2</v>
      </c>
      <c r="F537">
        <f t="shared" si="18"/>
        <v>0.18835948220309415</v>
      </c>
    </row>
    <row r="538" spans="1:6" x14ac:dyDescent="0.35">
      <c r="A538" s="15">
        <v>45688</v>
      </c>
      <c r="B538" t="s">
        <v>8</v>
      </c>
      <c r="C538" s="4">
        <v>3.8784882999999999</v>
      </c>
      <c r="D538" s="8">
        <f>LOOKUP(EOMONTH(A538,0),Target_Prices!A$2:A$38,Target_Prices!F$2:F$38)</f>
        <v>4.4824599999999997</v>
      </c>
      <c r="E538">
        <f t="shared" si="17"/>
        <v>2.823858950637792E-2</v>
      </c>
      <c r="F538">
        <f t="shared" si="18"/>
        <v>0.15572348123365481</v>
      </c>
    </row>
    <row r="539" spans="1:6" x14ac:dyDescent="0.35">
      <c r="A539" s="16">
        <v>45716</v>
      </c>
      <c r="B539" t="s">
        <v>8</v>
      </c>
      <c r="C539" s="3">
        <v>3.6042801999999998</v>
      </c>
      <c r="D539" s="8">
        <f>LOOKUP(EOMONTH(A539,0),Target_Prices!A$2:A$38,Target_Prices!F$2:F$38)</f>
        <v>4.4824599999999997</v>
      </c>
      <c r="E539">
        <f t="shared" si="17"/>
        <v>-7.0699736286428894E-2</v>
      </c>
      <c r="F539">
        <f t="shared" si="18"/>
        <v>0.24364914803238658</v>
      </c>
    </row>
    <row r="540" spans="1:6" x14ac:dyDescent="0.35">
      <c r="A540" s="15">
        <v>45747</v>
      </c>
      <c r="B540" t="s">
        <v>8</v>
      </c>
      <c r="C540" s="4">
        <v>3.4956214000000001</v>
      </c>
      <c r="D540" s="8">
        <f>LOOKUP(EOMONTH(A540,0),Target_Prices!A$2:A$38,Target_Prices!F$2:F$38)</f>
        <v>4.3538899999999998</v>
      </c>
      <c r="E540">
        <f t="shared" si="17"/>
        <v>-3.0147156705519151E-2</v>
      </c>
      <c r="F540">
        <f t="shared" si="18"/>
        <v>0.24552676099305254</v>
      </c>
    </row>
    <row r="541" spans="1:6" x14ac:dyDescent="0.35">
      <c r="A541" s="16">
        <v>45777</v>
      </c>
      <c r="B541" t="s">
        <v>8</v>
      </c>
      <c r="C541" s="3">
        <v>3.7194992999999998</v>
      </c>
      <c r="D541" s="8">
        <f>LOOKUP(EOMONTH(A541,0),Target_Prices!A$2:A$38,Target_Prices!F$2:F$38)</f>
        <v>4.3538899999999998</v>
      </c>
      <c r="E541">
        <f t="shared" si="17"/>
        <v>6.404523670669815E-2</v>
      </c>
      <c r="F541">
        <f t="shared" si="18"/>
        <v>0.17055809097746033</v>
      </c>
    </row>
    <row r="542" spans="1:6" x14ac:dyDescent="0.35">
      <c r="A542" s="15">
        <v>45807</v>
      </c>
      <c r="B542" t="s">
        <v>8</v>
      </c>
      <c r="C542" s="4">
        <v>3.6014241999999999</v>
      </c>
      <c r="D542" s="8">
        <f>LOOKUP(EOMONTH(A542,0),Target_Prices!A$2:A$38,Target_Prices!F$2:F$38)</f>
        <v>4.3538899999999998</v>
      </c>
      <c r="E542">
        <f t="shared" si="17"/>
        <v>-3.1744891039500955E-2</v>
      </c>
      <c r="F542">
        <f t="shared" si="18"/>
        <v>0.20893562052479128</v>
      </c>
    </row>
    <row r="543" spans="1:6" x14ac:dyDescent="0.35">
      <c r="A543" s="16">
        <v>45838</v>
      </c>
      <c r="B543" t="s">
        <v>8</v>
      </c>
      <c r="C543" s="3">
        <v>3.6058872000000002</v>
      </c>
      <c r="D543" s="8">
        <f>LOOKUP(EOMONTH(A543,0),Target_Prices!A$2:A$38,Target_Prices!F$2:F$38)</f>
        <v>4.04643</v>
      </c>
      <c r="E543">
        <f t="shared" si="17"/>
        <v>1.2392319682863473E-3</v>
      </c>
      <c r="F543">
        <f t="shared" si="18"/>
        <v>0.12217320608365113</v>
      </c>
    </row>
    <row r="544" spans="1:6" x14ac:dyDescent="0.35">
      <c r="A544" s="15">
        <v>45869</v>
      </c>
      <c r="B544" t="s">
        <v>8</v>
      </c>
      <c r="C544" s="4">
        <v>4.0391817000000003</v>
      </c>
      <c r="D544" s="8">
        <f>LOOKUP(EOMONTH(A544,0),Target_Prices!A$2:A$38,Target_Prices!F$2:F$38)</f>
        <v>4.04643</v>
      </c>
      <c r="E544">
        <f t="shared" si="17"/>
        <v>0.12016307664865389</v>
      </c>
      <c r="F544">
        <f t="shared" si="18"/>
        <v>1.7944971378731616E-3</v>
      </c>
    </row>
    <row r="545" spans="1:6" x14ac:dyDescent="0.35">
      <c r="A545" s="16">
        <v>45898</v>
      </c>
      <c r="B545" t="s">
        <v>8</v>
      </c>
      <c r="C545" s="3">
        <v>3.5036063</v>
      </c>
      <c r="D545" s="8">
        <f>LOOKUP(EOMONTH(A545,0),Target_Prices!A$2:A$38,Target_Prices!F$2:F$38)</f>
        <v>4.04643</v>
      </c>
      <c r="E545">
        <f t="shared" si="17"/>
        <v>-0.13259502537358003</v>
      </c>
      <c r="F545">
        <f t="shared" si="18"/>
        <v>0.15493284733504448</v>
      </c>
    </row>
    <row r="546" spans="1:6" x14ac:dyDescent="0.35">
      <c r="A546" s="15">
        <v>45930</v>
      </c>
      <c r="B546" t="s">
        <v>8</v>
      </c>
      <c r="C546" s="4">
        <v>3.3517353999999999</v>
      </c>
      <c r="D546" s="8">
        <f>LOOKUP(EOMONTH(A546,0),Target_Prices!A$2:A$38,Target_Prices!F$2:F$38)</f>
        <v>4.5327099999999998</v>
      </c>
      <c r="E546">
        <f t="shared" si="17"/>
        <v>-4.3347022181116635E-2</v>
      </c>
      <c r="F546">
        <f t="shared" si="18"/>
        <v>0.35234720497328037</v>
      </c>
    </row>
    <row r="547" spans="1:6" x14ac:dyDescent="0.35">
      <c r="A547" s="16">
        <v>45961</v>
      </c>
      <c r="B547" t="s">
        <v>8</v>
      </c>
      <c r="C547" s="3">
        <v>3.3871098000000002</v>
      </c>
      <c r="D547" s="8">
        <f>LOOKUP(EOMONTH(A547,0),Target_Prices!A$2:A$38,Target_Prices!F$2:F$38)</f>
        <v>4.5327099999999998</v>
      </c>
      <c r="E547">
        <f t="shared" si="17"/>
        <v>1.0554055072485857E-2</v>
      </c>
      <c r="F547">
        <f t="shared" si="18"/>
        <v>0.33822352024135727</v>
      </c>
    </row>
    <row r="548" spans="1:6" x14ac:dyDescent="0.35">
      <c r="A548" s="15">
        <v>45989</v>
      </c>
      <c r="B548" t="s">
        <v>8</v>
      </c>
      <c r="C548" s="4">
        <v>3.1883743</v>
      </c>
      <c r="D548" s="8">
        <f>LOOKUP(EOMONTH(A548,0),Target_Prices!A$2:A$38,Target_Prices!F$2:F$38)</f>
        <v>4.5327099999999998</v>
      </c>
      <c r="E548">
        <f t="shared" si="17"/>
        <v>-5.8674064832501149E-2</v>
      </c>
      <c r="F548">
        <f t="shared" si="18"/>
        <v>0.42163672565043564</v>
      </c>
    </row>
    <row r="549" spans="1:6" x14ac:dyDescent="0.35">
      <c r="A549" s="16">
        <v>46022</v>
      </c>
      <c r="B549" t="s">
        <v>8</v>
      </c>
      <c r="C549" s="3">
        <v>3.2946309999999999</v>
      </c>
      <c r="D549" s="8">
        <f>LOOKUP(EOMONTH(A549,0),Target_Prices!A$2:A$38,Target_Prices!F$2:F$38)</f>
        <v>3.9990999999999999</v>
      </c>
      <c r="E549">
        <f t="shared" si="17"/>
        <v>3.3326294218341879E-2</v>
      </c>
      <c r="F549">
        <f t="shared" si="18"/>
        <v>0.21382333863792335</v>
      </c>
    </row>
    <row r="550" spans="1:6" x14ac:dyDescent="0.35">
      <c r="A550" s="15">
        <v>46052</v>
      </c>
      <c r="B550" t="s">
        <v>8</v>
      </c>
      <c r="C550" s="4">
        <v>3.2380347</v>
      </c>
      <c r="D550" s="8">
        <f>LOOKUP(EOMONTH(A550,0),Target_Prices!A$2:A$38,Target_Prices!F$2:F$38)</f>
        <v>3.9990999999999999</v>
      </c>
      <c r="E550">
        <f t="shared" si="17"/>
        <v>-1.7178342582219286E-2</v>
      </c>
      <c r="F550">
        <f t="shared" si="18"/>
        <v>0.23503926625616453</v>
      </c>
    </row>
    <row r="551" spans="1:6" s="11" customFormat="1" x14ac:dyDescent="0.35">
      <c r="A551" s="15">
        <v>46080</v>
      </c>
      <c r="B551" s="11" t="s">
        <v>8</v>
      </c>
      <c r="C551" s="3">
        <v>3.4797761</v>
      </c>
      <c r="D551" s="8">
        <f>LOOKUP(EOMONTH(A551,0),Target_Prices!A$2:A$38,Target_Prices!F$2:F$38)</f>
        <v>3.9990999999999999</v>
      </c>
      <c r="E551">
        <f t="shared" si="17"/>
        <v>7.465682810625851E-2</v>
      </c>
      <c r="F551">
        <f t="shared" si="18"/>
        <v>0.14924060775059633</v>
      </c>
    </row>
    <row r="552" spans="1:6" x14ac:dyDescent="0.35">
      <c r="A552" s="15">
        <v>42766</v>
      </c>
      <c r="B552" t="s">
        <v>9</v>
      </c>
      <c r="C552" s="4">
        <v>11.065</v>
      </c>
      <c r="D552" s="8">
        <f>LOOKUP(EOMONTH(A552,0),Target_Prices!A$2:A$38,Target_Prices!G$2:G$38)</f>
        <v>15.164300000000001</v>
      </c>
      <c r="F552">
        <f t="shared" si="18"/>
        <v>0.3704744690465433</v>
      </c>
    </row>
    <row r="553" spans="1:6" x14ac:dyDescent="0.35">
      <c r="A553" s="16">
        <v>42794</v>
      </c>
      <c r="B553" t="s">
        <v>9</v>
      </c>
      <c r="C553" s="3">
        <v>11.54</v>
      </c>
      <c r="D553" s="8">
        <f>LOOKUP(EOMONTH(A553,0),Target_Prices!A$2:A$38,Target_Prices!G$2:G$38)</f>
        <v>15.164300000000001</v>
      </c>
      <c r="E553">
        <f>(C553/C552)-1</f>
        <v>4.2928151830094796E-2</v>
      </c>
      <c r="F553">
        <f t="shared" si="18"/>
        <v>0.31406412478336238</v>
      </c>
    </row>
    <row r="554" spans="1:6" x14ac:dyDescent="0.35">
      <c r="A554" s="15">
        <v>42825</v>
      </c>
      <c r="B554" t="s">
        <v>9</v>
      </c>
      <c r="C554" s="4">
        <v>13.28</v>
      </c>
      <c r="D554" s="8">
        <f>LOOKUP(EOMONTH(A554,0),Target_Prices!A$2:A$38,Target_Prices!G$2:G$38)</f>
        <v>14.455299999999999</v>
      </c>
      <c r="E554">
        <f t="shared" ref="E554:E617" si="19">(C554/C553)-1</f>
        <v>0.15077989601386488</v>
      </c>
      <c r="F554">
        <f t="shared" si="18"/>
        <v>8.8501506024096385E-2</v>
      </c>
    </row>
    <row r="555" spans="1:6" x14ac:dyDescent="0.35">
      <c r="A555" s="16">
        <v>42853</v>
      </c>
      <c r="B555" t="s">
        <v>9</v>
      </c>
      <c r="C555" s="3">
        <v>12.95</v>
      </c>
      <c r="D555" s="8">
        <f>LOOKUP(EOMONTH(A555,0),Target_Prices!A$2:A$38,Target_Prices!G$2:G$38)</f>
        <v>14.455299999999999</v>
      </c>
      <c r="E555">
        <f t="shared" si="19"/>
        <v>-2.4849397590361422E-2</v>
      </c>
      <c r="F555">
        <f t="shared" si="18"/>
        <v>0.11623938223938225</v>
      </c>
    </row>
    <row r="556" spans="1:6" x14ac:dyDescent="0.35">
      <c r="A556" s="15">
        <v>42886</v>
      </c>
      <c r="B556" t="s">
        <v>9</v>
      </c>
      <c r="C556" s="4">
        <v>13.585000000000001</v>
      </c>
      <c r="D556" s="8">
        <f>LOOKUP(EOMONTH(A556,0),Target_Prices!A$2:A$38,Target_Prices!G$2:G$38)</f>
        <v>14.455299999999999</v>
      </c>
      <c r="E556">
        <f t="shared" si="19"/>
        <v>4.9034749034749137E-2</v>
      </c>
      <c r="F556">
        <f t="shared" si="18"/>
        <v>6.4063305115936581E-2</v>
      </c>
    </row>
    <row r="557" spans="1:6" x14ac:dyDescent="0.35">
      <c r="A557" s="16">
        <v>42916</v>
      </c>
      <c r="B557" t="s">
        <v>9</v>
      </c>
      <c r="C557" s="3">
        <v>13.215</v>
      </c>
      <c r="D557" s="8">
        <f>LOOKUP(EOMONTH(A557,0),Target_Prices!A$2:A$38,Target_Prices!G$2:G$38)</f>
        <v>14.533300000000001</v>
      </c>
      <c r="E557">
        <f t="shared" si="19"/>
        <v>-2.7235921972764143E-2</v>
      </c>
      <c r="F557">
        <f t="shared" si="18"/>
        <v>9.9757850926976976E-2</v>
      </c>
    </row>
    <row r="558" spans="1:6" x14ac:dyDescent="0.35">
      <c r="A558" s="15">
        <v>42947</v>
      </c>
      <c r="B558" t="s">
        <v>9</v>
      </c>
      <c r="C558" s="4">
        <v>13.605</v>
      </c>
      <c r="D558" s="8">
        <f>LOOKUP(EOMONTH(A558,0),Target_Prices!A$2:A$38,Target_Prices!G$2:G$38)</f>
        <v>14.533300000000001</v>
      </c>
      <c r="E558">
        <f t="shared" si="19"/>
        <v>2.9511918274687909E-2</v>
      </c>
      <c r="F558">
        <f t="shared" si="18"/>
        <v>6.8232267548695338E-2</v>
      </c>
    </row>
    <row r="559" spans="1:6" x14ac:dyDescent="0.35">
      <c r="A559" s="16">
        <v>42978</v>
      </c>
      <c r="B559" t="s">
        <v>9</v>
      </c>
      <c r="C559" s="3">
        <v>14.02</v>
      </c>
      <c r="D559" s="8">
        <f>LOOKUP(EOMONTH(A559,0),Target_Prices!A$2:A$38,Target_Prices!G$2:G$38)</f>
        <v>14.533300000000001</v>
      </c>
      <c r="E559">
        <f t="shared" si="19"/>
        <v>3.0503491363469193E-2</v>
      </c>
      <c r="F559">
        <f t="shared" si="18"/>
        <v>3.6611982881597789E-2</v>
      </c>
    </row>
    <row r="560" spans="1:6" x14ac:dyDescent="0.35">
      <c r="A560" s="15">
        <v>43007</v>
      </c>
      <c r="B560" t="s">
        <v>9</v>
      </c>
      <c r="C560" s="4">
        <v>14.37</v>
      </c>
      <c r="D560" s="8">
        <f>LOOKUP(EOMONTH(A560,0),Target_Prices!A$2:A$38,Target_Prices!G$2:G$38)</f>
        <v>14.929399999999999</v>
      </c>
      <c r="E560">
        <f t="shared" si="19"/>
        <v>2.4964336661911446E-2</v>
      </c>
      <c r="F560">
        <f t="shared" si="18"/>
        <v>3.892832289491998E-2</v>
      </c>
    </row>
    <row r="561" spans="1:6" x14ac:dyDescent="0.35">
      <c r="A561" s="16">
        <v>43039</v>
      </c>
      <c r="B561" t="s">
        <v>9</v>
      </c>
      <c r="C561" s="3">
        <v>14.51</v>
      </c>
      <c r="D561" s="8">
        <f>LOOKUP(EOMONTH(A561,0),Target_Prices!A$2:A$38,Target_Prices!G$2:G$38)</f>
        <v>14.929399999999999</v>
      </c>
      <c r="E561">
        <f t="shared" si="19"/>
        <v>9.7425191370912323E-3</v>
      </c>
      <c r="F561">
        <f t="shared" si="18"/>
        <v>2.890420399724325E-2</v>
      </c>
    </row>
    <row r="562" spans="1:6" x14ac:dyDescent="0.35">
      <c r="A562" s="15">
        <v>43069</v>
      </c>
      <c r="B562" t="s">
        <v>9</v>
      </c>
      <c r="C562" s="4">
        <v>14.705</v>
      </c>
      <c r="D562" s="8">
        <f>LOOKUP(EOMONTH(A562,0),Target_Prices!A$2:A$38,Target_Prices!G$2:G$38)</f>
        <v>14.929399999999999</v>
      </c>
      <c r="E562">
        <f t="shared" si="19"/>
        <v>1.3439007580978712E-2</v>
      </c>
      <c r="F562">
        <f t="shared" si="18"/>
        <v>1.5260115606936367E-2</v>
      </c>
    </row>
    <row r="563" spans="1:6" x14ac:dyDescent="0.35">
      <c r="A563" s="16">
        <v>43098</v>
      </c>
      <c r="B563" t="s">
        <v>9</v>
      </c>
      <c r="C563" s="3">
        <v>14.335000000000001</v>
      </c>
      <c r="D563" s="8">
        <f>LOOKUP(EOMONTH(A563,0),Target_Prices!A$2:A$38,Target_Prices!G$2:G$38)</f>
        <v>16.03</v>
      </c>
      <c r="E563">
        <f t="shared" si="19"/>
        <v>-2.5161509690581396E-2</v>
      </c>
      <c r="F563">
        <f t="shared" si="18"/>
        <v>0.11824206487617721</v>
      </c>
    </row>
    <row r="564" spans="1:6" x14ac:dyDescent="0.35">
      <c r="A564" s="15">
        <v>43131</v>
      </c>
      <c r="B564" t="s">
        <v>9</v>
      </c>
      <c r="C564" s="4">
        <v>13.98</v>
      </c>
      <c r="D564" s="8">
        <f>LOOKUP(EOMONTH(A564,0),Target_Prices!A$2:A$38,Target_Prices!G$2:G$38)</f>
        <v>16.03</v>
      </c>
      <c r="E564">
        <f t="shared" si="19"/>
        <v>-2.4764562260202294E-2</v>
      </c>
      <c r="F564">
        <f t="shared" si="18"/>
        <v>0.14663805436337629</v>
      </c>
    </row>
    <row r="565" spans="1:6" x14ac:dyDescent="0.35">
      <c r="A565" s="16">
        <v>43159</v>
      </c>
      <c r="B565" t="s">
        <v>9</v>
      </c>
      <c r="C565" s="3">
        <v>12.875</v>
      </c>
      <c r="D565" s="8">
        <f>LOOKUP(EOMONTH(A565,0),Target_Prices!A$2:A$38,Target_Prices!G$2:G$38)</f>
        <v>16.03</v>
      </c>
      <c r="E565">
        <f t="shared" si="19"/>
        <v>-7.9041487839771163E-2</v>
      </c>
      <c r="F565">
        <f t="shared" si="18"/>
        <v>0.24504854368932047</v>
      </c>
    </row>
    <row r="566" spans="1:6" x14ac:dyDescent="0.35">
      <c r="A566" s="15">
        <v>43189</v>
      </c>
      <c r="B566" t="s">
        <v>9</v>
      </c>
      <c r="C566" s="4">
        <v>13.555</v>
      </c>
      <c r="D566" s="8">
        <f>LOOKUP(EOMONTH(A566,0),Target_Prices!A$2:A$38,Target_Prices!G$2:G$38)</f>
        <v>15.3375</v>
      </c>
      <c r="E566">
        <f t="shared" si="19"/>
        <v>5.2815533980582474E-2</v>
      </c>
      <c r="F566">
        <f t="shared" si="18"/>
        <v>0.13150129103651795</v>
      </c>
    </row>
    <row r="567" spans="1:6" x14ac:dyDescent="0.35">
      <c r="A567" s="16">
        <v>43220</v>
      </c>
      <c r="B567" t="s">
        <v>9</v>
      </c>
      <c r="C567" s="3">
        <v>14.55</v>
      </c>
      <c r="D567" s="8">
        <f>LOOKUP(EOMONTH(A567,0),Target_Prices!A$2:A$38,Target_Prices!G$2:G$38)</f>
        <v>15.3375</v>
      </c>
      <c r="E567">
        <f t="shared" si="19"/>
        <v>7.340464773146449E-2</v>
      </c>
      <c r="F567">
        <f t="shared" si="18"/>
        <v>5.412371134020616E-2</v>
      </c>
    </row>
    <row r="568" spans="1:6" x14ac:dyDescent="0.35">
      <c r="A568" s="15">
        <v>43251</v>
      </c>
      <c r="B568" t="s">
        <v>9</v>
      </c>
      <c r="C568" s="4">
        <v>13.535</v>
      </c>
      <c r="D568" s="8">
        <f>LOOKUP(EOMONTH(A568,0),Target_Prices!A$2:A$38,Target_Prices!G$2:G$38)</f>
        <v>15.3375</v>
      </c>
      <c r="E568">
        <f t="shared" si="19"/>
        <v>-6.9759450171821391E-2</v>
      </c>
      <c r="F568">
        <f t="shared" si="18"/>
        <v>0.13317325452530479</v>
      </c>
    </row>
    <row r="569" spans="1:6" x14ac:dyDescent="0.35">
      <c r="A569" s="16">
        <v>43280</v>
      </c>
      <c r="B569" t="s">
        <v>9</v>
      </c>
      <c r="C569" s="3">
        <v>13.13</v>
      </c>
      <c r="D569" s="8">
        <f>LOOKUP(EOMONTH(A569,0),Target_Prices!A$2:A$38,Target_Prices!G$2:G$38)</f>
        <v>15.5524</v>
      </c>
      <c r="E569">
        <f t="shared" si="19"/>
        <v>-2.9922423346878446E-2</v>
      </c>
      <c r="F569">
        <f t="shared" si="18"/>
        <v>0.18449352627570445</v>
      </c>
    </row>
    <row r="570" spans="1:6" x14ac:dyDescent="0.35">
      <c r="A570" s="15">
        <v>43312</v>
      </c>
      <c r="B570" t="s">
        <v>9</v>
      </c>
      <c r="C570" s="4">
        <v>13.815</v>
      </c>
      <c r="D570" s="8">
        <f>LOOKUP(EOMONTH(A570,0),Target_Prices!A$2:A$38,Target_Prices!G$2:G$38)</f>
        <v>15.5524</v>
      </c>
      <c r="E570">
        <f t="shared" si="19"/>
        <v>5.2170601675552097E-2</v>
      </c>
      <c r="F570">
        <f t="shared" si="18"/>
        <v>0.12576185305827006</v>
      </c>
    </row>
    <row r="571" spans="1:6" x14ac:dyDescent="0.35">
      <c r="A571" s="16">
        <v>43343</v>
      </c>
      <c r="B571" t="s">
        <v>9</v>
      </c>
      <c r="C571" s="3">
        <v>12.63</v>
      </c>
      <c r="D571" s="8">
        <f>LOOKUP(EOMONTH(A571,0),Target_Prices!A$2:A$38,Target_Prices!G$2:G$38)</f>
        <v>15.5524</v>
      </c>
      <c r="E571">
        <f t="shared" si="19"/>
        <v>-8.577633007600427E-2</v>
      </c>
      <c r="F571">
        <f t="shared" si="18"/>
        <v>0.23138558986539981</v>
      </c>
    </row>
    <row r="572" spans="1:6" x14ac:dyDescent="0.35">
      <c r="A572" s="15">
        <v>43371</v>
      </c>
      <c r="B572" t="s">
        <v>9</v>
      </c>
      <c r="C572" s="4">
        <v>12.664999999999999</v>
      </c>
      <c r="D572" s="8">
        <f>LOOKUP(EOMONTH(A572,0),Target_Prices!A$2:A$38,Target_Prices!G$2:G$38)</f>
        <v>15.586399999999999</v>
      </c>
      <c r="E572">
        <f t="shared" si="19"/>
        <v>2.7711797307996555E-3</v>
      </c>
      <c r="F572">
        <f t="shared" si="18"/>
        <v>0.23066719305171737</v>
      </c>
    </row>
    <row r="573" spans="1:6" x14ac:dyDescent="0.35">
      <c r="A573" s="16">
        <v>43404</v>
      </c>
      <c r="B573" t="s">
        <v>9</v>
      </c>
      <c r="C573" s="3">
        <v>11.775</v>
      </c>
      <c r="D573" s="8">
        <f>LOOKUP(EOMONTH(A573,0),Target_Prices!A$2:A$38,Target_Prices!G$2:G$38)</f>
        <v>15.586399999999999</v>
      </c>
      <c r="E573">
        <f t="shared" si="19"/>
        <v>-7.0272404263718835E-2</v>
      </c>
      <c r="F573">
        <f t="shared" si="18"/>
        <v>0.32368577494692136</v>
      </c>
    </row>
    <row r="574" spans="1:6" x14ac:dyDescent="0.35">
      <c r="A574" s="15">
        <v>43434</v>
      </c>
      <c r="B574" t="s">
        <v>9</v>
      </c>
      <c r="C574" s="4">
        <v>12.42</v>
      </c>
      <c r="D574" s="8">
        <f>LOOKUP(EOMONTH(A574,0),Target_Prices!A$2:A$38,Target_Prices!G$2:G$38)</f>
        <v>15.586399999999999</v>
      </c>
      <c r="E574">
        <f t="shared" si="19"/>
        <v>5.4777070063694255E-2</v>
      </c>
      <c r="F574">
        <f t="shared" si="18"/>
        <v>0.25494363929146535</v>
      </c>
    </row>
    <row r="575" spans="1:6" x14ac:dyDescent="0.35">
      <c r="A575" s="16">
        <v>43465</v>
      </c>
      <c r="B575" t="s">
        <v>9</v>
      </c>
      <c r="C575" s="3">
        <v>12.525</v>
      </c>
      <c r="D575" s="8">
        <f>LOOKUP(EOMONTH(A575,0),Target_Prices!A$2:A$38,Target_Prices!G$2:G$38)</f>
        <v>15.308299999999999</v>
      </c>
      <c r="E575">
        <f t="shared" si="19"/>
        <v>8.4541062801932743E-3</v>
      </c>
      <c r="F575">
        <f t="shared" si="18"/>
        <v>0.22221956087824341</v>
      </c>
    </row>
    <row r="576" spans="1:6" x14ac:dyDescent="0.35">
      <c r="A576" s="15">
        <v>43496</v>
      </c>
      <c r="B576" t="s">
        <v>9</v>
      </c>
      <c r="C576" s="4">
        <v>13.984999999999999</v>
      </c>
      <c r="D576" s="8">
        <f>LOOKUP(EOMONTH(A576,0),Target_Prices!A$2:A$38,Target_Prices!G$2:G$38)</f>
        <v>15.308299999999999</v>
      </c>
      <c r="E576">
        <f t="shared" si="19"/>
        <v>0.11656686626746504</v>
      </c>
      <c r="F576">
        <f t="shared" si="18"/>
        <v>9.4622810153736123E-2</v>
      </c>
    </row>
    <row r="577" spans="1:6" x14ac:dyDescent="0.35">
      <c r="A577" s="16">
        <v>43524</v>
      </c>
      <c r="B577" t="s">
        <v>9</v>
      </c>
      <c r="C577" s="3">
        <v>13.25</v>
      </c>
      <c r="D577" s="8">
        <f>LOOKUP(EOMONTH(A577,0),Target_Prices!A$2:A$38,Target_Prices!G$2:G$38)</f>
        <v>15.308299999999999</v>
      </c>
      <c r="E577">
        <f t="shared" si="19"/>
        <v>-5.2556310332499079E-2</v>
      </c>
      <c r="F577">
        <f t="shared" si="18"/>
        <v>0.15534339622641502</v>
      </c>
    </row>
    <row r="578" spans="1:6" x14ac:dyDescent="0.35">
      <c r="A578" s="15">
        <v>43553</v>
      </c>
      <c r="B578" t="s">
        <v>9</v>
      </c>
      <c r="C578" s="4">
        <v>13.28</v>
      </c>
      <c r="D578" s="8">
        <f>LOOKUP(EOMONTH(A578,0),Target_Prices!A$2:A$38,Target_Prices!G$2:G$38)</f>
        <v>15.581300000000001</v>
      </c>
      <c r="E578">
        <f t="shared" si="19"/>
        <v>2.2641509433962703E-3</v>
      </c>
      <c r="F578">
        <f t="shared" si="18"/>
        <v>0.1732906626506025</v>
      </c>
    </row>
    <row r="579" spans="1:6" x14ac:dyDescent="0.35">
      <c r="A579" s="16">
        <v>43585</v>
      </c>
      <c r="B579" t="s">
        <v>9</v>
      </c>
      <c r="C579" s="3">
        <v>13.205</v>
      </c>
      <c r="D579" s="8">
        <f>LOOKUP(EOMONTH(A579,0),Target_Prices!A$2:A$38,Target_Prices!G$2:G$38)</f>
        <v>15.581300000000001</v>
      </c>
      <c r="E579">
        <f t="shared" si="19"/>
        <v>-5.6475903614456868E-3</v>
      </c>
      <c r="F579">
        <f t="shared" ref="F579:F642" si="20">(D579-C579)/C579</f>
        <v>0.17995456266565699</v>
      </c>
    </row>
    <row r="580" spans="1:6" x14ac:dyDescent="0.35">
      <c r="A580" s="15">
        <v>43616</v>
      </c>
      <c r="B580" t="s">
        <v>9</v>
      </c>
      <c r="C580" s="4">
        <v>12.45</v>
      </c>
      <c r="D580" s="8">
        <f>LOOKUP(EOMONTH(A580,0),Target_Prices!A$2:A$38,Target_Prices!G$2:G$38)</f>
        <v>15.581300000000001</v>
      </c>
      <c r="E580">
        <f t="shared" si="19"/>
        <v>-5.7175312381673615E-2</v>
      </c>
      <c r="F580">
        <f t="shared" si="20"/>
        <v>0.25151004016064271</v>
      </c>
    </row>
    <row r="581" spans="1:6" x14ac:dyDescent="0.35">
      <c r="A581" s="16">
        <v>43644</v>
      </c>
      <c r="B581" t="s">
        <v>9</v>
      </c>
      <c r="C581" s="3">
        <v>13.34</v>
      </c>
      <c r="D581" s="8">
        <f>LOOKUP(EOMONTH(A581,0),Target_Prices!A$2:A$38,Target_Prices!G$2:G$38)</f>
        <v>15.585699999999999</v>
      </c>
      <c r="E581">
        <f t="shared" si="19"/>
        <v>7.1485943775100536E-2</v>
      </c>
      <c r="F581">
        <f t="shared" si="20"/>
        <v>0.16834332833583204</v>
      </c>
    </row>
    <row r="582" spans="1:6" x14ac:dyDescent="0.35">
      <c r="A582" s="15">
        <v>43677</v>
      </c>
      <c r="B582" t="s">
        <v>9</v>
      </c>
      <c r="C582" s="4">
        <v>13.92</v>
      </c>
      <c r="D582" s="8">
        <f>LOOKUP(EOMONTH(A582,0),Target_Prices!A$2:A$38,Target_Prices!G$2:G$38)</f>
        <v>15.585699999999999</v>
      </c>
      <c r="E582">
        <f t="shared" si="19"/>
        <v>4.3478260869565188E-2</v>
      </c>
      <c r="F582">
        <f t="shared" si="20"/>
        <v>0.11966235632183903</v>
      </c>
    </row>
    <row r="583" spans="1:6" x14ac:dyDescent="0.35">
      <c r="A583" s="16">
        <v>43707</v>
      </c>
      <c r="B583" t="s">
        <v>9</v>
      </c>
      <c r="C583" s="3">
        <v>13.824999999999999</v>
      </c>
      <c r="D583" s="8">
        <f>LOOKUP(EOMONTH(A583,0),Target_Prices!A$2:A$38,Target_Prices!G$2:G$38)</f>
        <v>15.585699999999999</v>
      </c>
      <c r="E583">
        <f t="shared" si="19"/>
        <v>-6.8247126436782324E-3</v>
      </c>
      <c r="F583">
        <f t="shared" si="20"/>
        <v>0.12735623869801085</v>
      </c>
    </row>
    <row r="584" spans="1:6" x14ac:dyDescent="0.35">
      <c r="A584" s="15">
        <v>43738</v>
      </c>
      <c r="B584" t="s">
        <v>9</v>
      </c>
      <c r="C584" s="4">
        <v>14.98</v>
      </c>
      <c r="D584" s="8">
        <f>LOOKUP(EOMONTH(A584,0),Target_Prices!A$2:A$38,Target_Prices!G$2:G$38)</f>
        <v>15.9937</v>
      </c>
      <c r="E584">
        <f t="shared" si="19"/>
        <v>8.3544303797468356E-2</v>
      </c>
      <c r="F584">
        <f t="shared" si="20"/>
        <v>6.7670226969292396E-2</v>
      </c>
    </row>
    <row r="585" spans="1:6" x14ac:dyDescent="0.35">
      <c r="A585" s="16">
        <v>43769</v>
      </c>
      <c r="B585" t="s">
        <v>9</v>
      </c>
      <c r="C585" s="3">
        <v>14.994999999999999</v>
      </c>
      <c r="D585" s="8">
        <f>LOOKUP(EOMONTH(A585,0),Target_Prices!A$2:A$38,Target_Prices!G$2:G$38)</f>
        <v>15.9937</v>
      </c>
      <c r="E585">
        <f t="shared" si="19"/>
        <v>1.0013351134845472E-3</v>
      </c>
      <c r="F585">
        <f t="shared" si="20"/>
        <v>6.6602200733577949E-2</v>
      </c>
    </row>
    <row r="586" spans="1:6" x14ac:dyDescent="0.35">
      <c r="A586" s="15">
        <v>43798</v>
      </c>
      <c r="B586" t="s">
        <v>9</v>
      </c>
      <c r="C586" s="4">
        <v>14.36</v>
      </c>
      <c r="D586" s="8">
        <f>LOOKUP(EOMONTH(A586,0),Target_Prices!A$2:A$38,Target_Prices!G$2:G$38)</f>
        <v>15.9937</v>
      </c>
      <c r="E586">
        <f t="shared" si="19"/>
        <v>-4.2347449149716554E-2</v>
      </c>
      <c r="F586">
        <f t="shared" si="20"/>
        <v>0.11376740947075216</v>
      </c>
    </row>
    <row r="587" spans="1:6" x14ac:dyDescent="0.35">
      <c r="A587" s="16">
        <v>43830</v>
      </c>
      <c r="B587" t="s">
        <v>9</v>
      </c>
      <c r="C587" s="3">
        <v>14.4</v>
      </c>
      <c r="D587" s="8">
        <f>LOOKUP(EOMONTH(A587,0),Target_Prices!A$2:A$38,Target_Prices!G$2:G$38)</f>
        <v>16.731300000000001</v>
      </c>
      <c r="E587">
        <f t="shared" si="19"/>
        <v>2.7855153203342198E-3</v>
      </c>
      <c r="F587">
        <f t="shared" si="20"/>
        <v>0.16189583333333338</v>
      </c>
    </row>
    <row r="588" spans="1:6" x14ac:dyDescent="0.35">
      <c r="A588" s="15">
        <v>43861</v>
      </c>
      <c r="B588" t="s">
        <v>9</v>
      </c>
      <c r="C588" s="4">
        <v>15.56</v>
      </c>
      <c r="D588" s="8">
        <f>LOOKUP(EOMONTH(A588,0),Target_Prices!A$2:A$38,Target_Prices!G$2:G$38)</f>
        <v>16.731300000000001</v>
      </c>
      <c r="E588">
        <f t="shared" si="19"/>
        <v>8.0555555555555491E-2</v>
      </c>
      <c r="F588">
        <f t="shared" si="20"/>
        <v>7.5276349614395915E-2</v>
      </c>
    </row>
    <row r="589" spans="1:6" x14ac:dyDescent="0.35">
      <c r="A589" s="16">
        <v>43889</v>
      </c>
      <c r="B589" t="s">
        <v>9</v>
      </c>
      <c r="C589" s="3">
        <v>15.03</v>
      </c>
      <c r="D589" s="8">
        <f>LOOKUP(EOMONTH(A589,0),Target_Prices!A$2:A$38,Target_Prices!G$2:G$38)</f>
        <v>16.731300000000001</v>
      </c>
      <c r="E589">
        <f t="shared" si="19"/>
        <v>-3.4061696658097773E-2</v>
      </c>
      <c r="F589">
        <f t="shared" si="20"/>
        <v>0.11319361277445121</v>
      </c>
    </row>
    <row r="590" spans="1:6" x14ac:dyDescent="0.35">
      <c r="A590" s="15">
        <v>43921</v>
      </c>
      <c r="B590" t="s">
        <v>9</v>
      </c>
      <c r="C590" s="4">
        <v>9.4120000000000008</v>
      </c>
      <c r="D590" s="8">
        <f>LOOKUP(EOMONTH(A590,0),Target_Prices!A$2:A$38,Target_Prices!G$2:G$38)</f>
        <v>15.763199999999999</v>
      </c>
      <c r="E590">
        <f t="shared" si="19"/>
        <v>-0.37378576180971379</v>
      </c>
      <c r="F590">
        <f t="shared" si="20"/>
        <v>0.6747981300467486</v>
      </c>
    </row>
    <row r="591" spans="1:6" x14ac:dyDescent="0.35">
      <c r="A591" s="16">
        <v>43951</v>
      </c>
      <c r="B591" t="s">
        <v>9</v>
      </c>
      <c r="C591" s="3">
        <v>9.9039999999999999</v>
      </c>
      <c r="D591" s="8">
        <f>LOOKUP(EOMONTH(A591,0),Target_Prices!A$2:A$38,Target_Prices!G$2:G$38)</f>
        <v>15.763199999999999</v>
      </c>
      <c r="E591">
        <f t="shared" si="19"/>
        <v>5.2273693157671053E-2</v>
      </c>
      <c r="F591">
        <f t="shared" si="20"/>
        <v>0.59159935379644579</v>
      </c>
    </row>
    <row r="592" spans="1:6" x14ac:dyDescent="0.35">
      <c r="A592" s="15">
        <v>43980</v>
      </c>
      <c r="B592" t="s">
        <v>9</v>
      </c>
      <c r="C592" s="4">
        <v>10.635</v>
      </c>
      <c r="D592" s="8">
        <f>LOOKUP(EOMONTH(A592,0),Target_Prices!A$2:A$38,Target_Prices!G$2:G$38)</f>
        <v>15.763199999999999</v>
      </c>
      <c r="E592">
        <f t="shared" si="19"/>
        <v>7.3808562197092087E-2</v>
      </c>
      <c r="F592">
        <f t="shared" si="20"/>
        <v>0.48220028208744709</v>
      </c>
    </row>
    <row r="593" spans="1:6" x14ac:dyDescent="0.35">
      <c r="A593" s="16">
        <v>44012</v>
      </c>
      <c r="B593" t="s">
        <v>9</v>
      </c>
      <c r="C593" s="3">
        <v>11</v>
      </c>
      <c r="D593" s="8">
        <f>LOOKUP(EOMONTH(A593,0),Target_Prices!A$2:A$38,Target_Prices!G$2:G$38)</f>
        <v>13.3553</v>
      </c>
      <c r="E593">
        <f t="shared" si="19"/>
        <v>3.4320639398213393E-2</v>
      </c>
      <c r="F593">
        <f t="shared" si="20"/>
        <v>0.21411818181818179</v>
      </c>
    </row>
    <row r="594" spans="1:6" x14ac:dyDescent="0.35">
      <c r="A594" s="15">
        <v>44043</v>
      </c>
      <c r="B594" t="s">
        <v>9</v>
      </c>
      <c r="C594" s="4">
        <v>11.29</v>
      </c>
      <c r="D594" s="8">
        <f>LOOKUP(EOMONTH(A594,0),Target_Prices!A$2:A$38,Target_Prices!G$2:G$38)</f>
        <v>13.3553</v>
      </c>
      <c r="E594">
        <f t="shared" si="19"/>
        <v>2.6363636363636367E-2</v>
      </c>
      <c r="F594">
        <f t="shared" si="20"/>
        <v>0.18293179805137297</v>
      </c>
    </row>
    <row r="595" spans="1:6" x14ac:dyDescent="0.35">
      <c r="A595" s="16">
        <v>44074</v>
      </c>
      <c r="B595" t="s">
        <v>9</v>
      </c>
      <c r="C595" s="3">
        <v>11.654999999999999</v>
      </c>
      <c r="D595" s="8">
        <f>LOOKUP(EOMONTH(A595,0),Target_Prices!A$2:A$38,Target_Prices!G$2:G$38)</f>
        <v>13.3553</v>
      </c>
      <c r="E595">
        <f t="shared" si="19"/>
        <v>3.2329495128432306E-2</v>
      </c>
      <c r="F595">
        <f t="shared" si="20"/>
        <v>0.14588588588588591</v>
      </c>
    </row>
    <row r="596" spans="1:6" x14ac:dyDescent="0.35">
      <c r="A596" s="15">
        <v>44104</v>
      </c>
      <c r="B596" t="s">
        <v>9</v>
      </c>
      <c r="C596" s="4">
        <v>11.42</v>
      </c>
      <c r="D596" s="8">
        <f>LOOKUP(EOMONTH(A596,0),Target_Prices!A$2:A$38,Target_Prices!G$2:G$38)</f>
        <v>14.4682</v>
      </c>
      <c r="E596">
        <f t="shared" si="19"/>
        <v>-2.0163020163020073E-2</v>
      </c>
      <c r="F596">
        <f t="shared" si="20"/>
        <v>0.2669176882661996</v>
      </c>
    </row>
    <row r="597" spans="1:6" x14ac:dyDescent="0.35">
      <c r="A597" s="16">
        <v>44134</v>
      </c>
      <c r="B597" t="s">
        <v>9</v>
      </c>
      <c r="C597" s="3">
        <v>10.385</v>
      </c>
      <c r="D597" s="8">
        <f>LOOKUP(EOMONTH(A597,0),Target_Prices!A$2:A$38,Target_Prices!G$2:G$38)</f>
        <v>14.4682</v>
      </c>
      <c r="E597">
        <f t="shared" si="19"/>
        <v>-9.0630472854640987E-2</v>
      </c>
      <c r="F597">
        <f t="shared" si="20"/>
        <v>0.39318247472315837</v>
      </c>
    </row>
    <row r="598" spans="1:6" x14ac:dyDescent="0.35">
      <c r="A598" s="15">
        <v>44165</v>
      </c>
      <c r="B598" t="s">
        <v>9</v>
      </c>
      <c r="C598" s="4">
        <v>12.37</v>
      </c>
      <c r="D598" s="8">
        <f>LOOKUP(EOMONTH(A598,0),Target_Prices!A$2:A$38,Target_Prices!G$2:G$38)</f>
        <v>14.4682</v>
      </c>
      <c r="E598">
        <f t="shared" si="19"/>
        <v>0.19114106884930182</v>
      </c>
      <c r="F598">
        <f t="shared" si="20"/>
        <v>0.16962004850444629</v>
      </c>
    </row>
    <row r="599" spans="1:6" x14ac:dyDescent="0.35">
      <c r="A599" s="16">
        <v>44196</v>
      </c>
      <c r="B599" t="s">
        <v>9</v>
      </c>
      <c r="C599" s="3">
        <v>12.52</v>
      </c>
      <c r="D599" s="8">
        <f>LOOKUP(EOMONTH(A599,0),Target_Prices!A$2:A$38,Target_Prices!G$2:G$38)</f>
        <v>15.091200000000001</v>
      </c>
      <c r="E599">
        <f t="shared" si="19"/>
        <v>1.2126111560226471E-2</v>
      </c>
      <c r="F599">
        <f t="shared" si="20"/>
        <v>0.20536741214057516</v>
      </c>
    </row>
    <row r="600" spans="1:6" x14ac:dyDescent="0.35">
      <c r="A600" s="15">
        <v>44225</v>
      </c>
      <c r="B600" t="s">
        <v>9</v>
      </c>
      <c r="C600" s="4">
        <v>12.82</v>
      </c>
      <c r="D600" s="8">
        <f>LOOKUP(EOMONTH(A600,0),Target_Prices!A$2:A$38,Target_Prices!G$2:G$38)</f>
        <v>15.091200000000001</v>
      </c>
      <c r="E600">
        <f t="shared" si="19"/>
        <v>2.396166134185318E-2</v>
      </c>
      <c r="F600">
        <f t="shared" si="20"/>
        <v>0.17716068642745711</v>
      </c>
    </row>
    <row r="601" spans="1:6" x14ac:dyDescent="0.35">
      <c r="A601" s="16">
        <v>44253</v>
      </c>
      <c r="B601" t="s">
        <v>9</v>
      </c>
      <c r="C601" s="3">
        <v>12.085000000000001</v>
      </c>
      <c r="D601" s="8">
        <f>LOOKUP(EOMONTH(A601,0),Target_Prices!A$2:A$38,Target_Prices!G$2:G$38)</f>
        <v>15.091200000000001</v>
      </c>
      <c r="E601">
        <f t="shared" si="19"/>
        <v>-5.7332293291731617E-2</v>
      </c>
      <c r="F601">
        <f t="shared" si="20"/>
        <v>0.24875465453040957</v>
      </c>
    </row>
    <row r="602" spans="1:6" x14ac:dyDescent="0.35">
      <c r="A602" s="15">
        <v>44286</v>
      </c>
      <c r="B602" t="s">
        <v>9</v>
      </c>
      <c r="C602" s="4">
        <v>12.105</v>
      </c>
      <c r="D602" s="8">
        <f>LOOKUP(EOMONTH(A602,0),Target_Prices!A$2:A$38,Target_Prices!G$2:G$38)</f>
        <v>15.421900000000001</v>
      </c>
      <c r="E602">
        <f t="shared" si="19"/>
        <v>1.6549441456350511E-3</v>
      </c>
      <c r="F602">
        <f t="shared" si="20"/>
        <v>0.27401073936389925</v>
      </c>
    </row>
    <row r="603" spans="1:6" x14ac:dyDescent="0.35">
      <c r="A603" s="16">
        <v>44316</v>
      </c>
      <c r="B603" t="s">
        <v>9</v>
      </c>
      <c r="C603" s="3">
        <v>12.37</v>
      </c>
      <c r="D603" s="8">
        <f>LOOKUP(EOMONTH(A603,0),Target_Prices!A$2:A$38,Target_Prices!G$2:G$38)</f>
        <v>15.421900000000001</v>
      </c>
      <c r="E603">
        <f t="shared" si="19"/>
        <v>2.1891780256092508E-2</v>
      </c>
      <c r="F603">
        <f t="shared" si="20"/>
        <v>0.24671786580436555</v>
      </c>
    </row>
    <row r="604" spans="1:6" x14ac:dyDescent="0.35">
      <c r="A604" s="15">
        <v>44347</v>
      </c>
      <c r="B604" t="s">
        <v>9</v>
      </c>
      <c r="C604" s="4">
        <v>12.15</v>
      </c>
      <c r="D604" s="8">
        <f>LOOKUP(EOMONTH(A604,0),Target_Prices!A$2:A$38,Target_Prices!G$2:G$38)</f>
        <v>15.421900000000001</v>
      </c>
      <c r="E604">
        <f t="shared" si="19"/>
        <v>-1.7784963621665262E-2</v>
      </c>
      <c r="F604">
        <f t="shared" si="20"/>
        <v>0.26929218106995889</v>
      </c>
    </row>
    <row r="605" spans="1:6" x14ac:dyDescent="0.35">
      <c r="A605" s="16">
        <v>44377</v>
      </c>
      <c r="B605" t="s">
        <v>9</v>
      </c>
      <c r="C605" s="3">
        <v>11.554</v>
      </c>
      <c r="D605" s="8">
        <f>LOOKUP(EOMONTH(A605,0),Target_Prices!A$2:A$38,Target_Prices!G$2:G$38)</f>
        <v>15.6562</v>
      </c>
      <c r="E605">
        <f t="shared" si="19"/>
        <v>-4.9053497942386892E-2</v>
      </c>
      <c r="F605">
        <f t="shared" si="20"/>
        <v>0.35504587155963302</v>
      </c>
    </row>
    <row r="606" spans="1:6" x14ac:dyDescent="0.35">
      <c r="A606" s="15">
        <v>44407</v>
      </c>
      <c r="B606" t="s">
        <v>9</v>
      </c>
      <c r="C606" s="4">
        <v>11.252000000000001</v>
      </c>
      <c r="D606" s="8">
        <f>LOOKUP(EOMONTH(A606,0),Target_Prices!A$2:A$38,Target_Prices!G$2:G$38)</f>
        <v>15.6562</v>
      </c>
      <c r="E606">
        <f t="shared" si="19"/>
        <v>-2.6138133979574096E-2</v>
      </c>
      <c r="F606">
        <f t="shared" si="20"/>
        <v>0.39141485958051897</v>
      </c>
    </row>
    <row r="607" spans="1:6" x14ac:dyDescent="0.35">
      <c r="A607" s="16">
        <v>44439</v>
      </c>
      <c r="B607" t="s">
        <v>9</v>
      </c>
      <c r="C607" s="3">
        <v>12.132</v>
      </c>
      <c r="D607" s="8">
        <f>LOOKUP(EOMONTH(A607,0),Target_Prices!A$2:A$38,Target_Prices!G$2:G$38)</f>
        <v>15.6562</v>
      </c>
      <c r="E607">
        <f t="shared" si="19"/>
        <v>7.8208318521151732E-2</v>
      </c>
      <c r="F607">
        <f t="shared" si="20"/>
        <v>0.29048796571051766</v>
      </c>
    </row>
    <row r="608" spans="1:6" x14ac:dyDescent="0.35">
      <c r="A608" s="15">
        <v>44469</v>
      </c>
      <c r="B608" t="s">
        <v>9</v>
      </c>
      <c r="C608" s="4">
        <v>11.342000000000001</v>
      </c>
      <c r="D608" s="8">
        <f>LOOKUP(EOMONTH(A608,0),Target_Prices!A$2:A$38,Target_Prices!G$2:G$38)</f>
        <v>16</v>
      </c>
      <c r="E608">
        <f t="shared" si="19"/>
        <v>-6.5117045829211961E-2</v>
      </c>
      <c r="F608">
        <f t="shared" si="20"/>
        <v>0.41068594604126252</v>
      </c>
    </row>
    <row r="609" spans="1:6" x14ac:dyDescent="0.35">
      <c r="A609" s="16">
        <v>44498</v>
      </c>
      <c r="B609" t="s">
        <v>9</v>
      </c>
      <c r="C609" s="3">
        <v>12.295999999999999</v>
      </c>
      <c r="D609" s="8">
        <f>LOOKUP(EOMONTH(A609,0),Target_Prices!A$2:A$38,Target_Prices!G$2:G$38)</f>
        <v>16</v>
      </c>
      <c r="E609">
        <f t="shared" si="19"/>
        <v>8.4112149532710179E-2</v>
      </c>
      <c r="F609">
        <f t="shared" si="20"/>
        <v>0.30123617436564742</v>
      </c>
    </row>
    <row r="610" spans="1:6" x14ac:dyDescent="0.35">
      <c r="A610" s="15">
        <v>44530</v>
      </c>
      <c r="B610" t="s">
        <v>9</v>
      </c>
      <c r="C610" s="4">
        <v>12.81</v>
      </c>
      <c r="D610" s="8">
        <f>LOOKUP(EOMONTH(A610,0),Target_Prices!A$2:A$38,Target_Prices!G$2:G$38)</f>
        <v>16</v>
      </c>
      <c r="E610">
        <f t="shared" si="19"/>
        <v>4.1802212101496483E-2</v>
      </c>
      <c r="F610">
        <f t="shared" si="20"/>
        <v>0.24902419984387192</v>
      </c>
    </row>
    <row r="611" spans="1:6" x14ac:dyDescent="0.35">
      <c r="A611" s="16">
        <v>44561</v>
      </c>
      <c r="B611" t="s">
        <v>9</v>
      </c>
      <c r="C611" s="3">
        <v>13.013999999999999</v>
      </c>
      <c r="D611" s="8">
        <f>LOOKUP(EOMONTH(A611,0),Target_Prices!A$2:A$38,Target_Prices!G$2:G$38)</f>
        <v>16.226700000000001</v>
      </c>
      <c r="E611">
        <f t="shared" si="19"/>
        <v>1.5925058548009297E-2</v>
      </c>
      <c r="F611">
        <f t="shared" si="20"/>
        <v>0.24686491470723851</v>
      </c>
    </row>
    <row r="612" spans="1:6" x14ac:dyDescent="0.35">
      <c r="A612" s="15">
        <v>44592</v>
      </c>
      <c r="B612" t="s">
        <v>9</v>
      </c>
      <c r="C612" s="4">
        <v>13.554</v>
      </c>
      <c r="D612" s="8">
        <f>LOOKUP(EOMONTH(A612,0),Target_Prices!A$2:A$38,Target_Prices!G$2:G$38)</f>
        <v>16.226700000000001</v>
      </c>
      <c r="E612">
        <f t="shared" si="19"/>
        <v>4.1493775933610033E-2</v>
      </c>
      <c r="F612">
        <f t="shared" si="20"/>
        <v>0.19718902169101377</v>
      </c>
    </row>
    <row r="613" spans="1:6" x14ac:dyDescent="0.35">
      <c r="A613" s="16">
        <v>44620</v>
      </c>
      <c r="B613" t="s">
        <v>9</v>
      </c>
      <c r="C613" s="3">
        <v>14.268000000000001</v>
      </c>
      <c r="D613" s="8">
        <f>LOOKUP(EOMONTH(A613,0),Target_Prices!A$2:A$38,Target_Prices!G$2:G$38)</f>
        <v>16.226700000000001</v>
      </c>
      <c r="E613">
        <f t="shared" si="19"/>
        <v>5.2678176184152381E-2</v>
      </c>
      <c r="F613">
        <f t="shared" si="20"/>
        <v>0.13727922624053829</v>
      </c>
    </row>
    <row r="614" spans="1:6" x14ac:dyDescent="0.35">
      <c r="A614" s="15">
        <v>44651</v>
      </c>
      <c r="B614" t="s">
        <v>9</v>
      </c>
      <c r="C614" s="4">
        <v>11.933999999999999</v>
      </c>
      <c r="D614" s="8">
        <f>LOOKUP(EOMONTH(A614,0),Target_Prices!A$2:A$38,Target_Prices!G$2:G$38)</f>
        <v>17.178599999999999</v>
      </c>
      <c r="E614">
        <f t="shared" si="19"/>
        <v>-0.16358284272497903</v>
      </c>
      <c r="F614">
        <f t="shared" si="20"/>
        <v>0.43946706887883363</v>
      </c>
    </row>
    <row r="615" spans="1:6" x14ac:dyDescent="0.35">
      <c r="A615" s="16">
        <v>44680</v>
      </c>
      <c r="B615" t="s">
        <v>9</v>
      </c>
      <c r="C615" s="3">
        <v>11.321999999999999</v>
      </c>
      <c r="D615" s="8">
        <f>LOOKUP(EOMONTH(A615,0),Target_Prices!A$2:A$38,Target_Prices!G$2:G$38)</f>
        <v>17.178599999999999</v>
      </c>
      <c r="E615">
        <f t="shared" si="19"/>
        <v>-5.1282051282051322E-2</v>
      </c>
      <c r="F615">
        <f t="shared" si="20"/>
        <v>0.51727609962904086</v>
      </c>
    </row>
    <row r="616" spans="1:6" x14ac:dyDescent="0.35">
      <c r="A616" s="15">
        <v>44712</v>
      </c>
      <c r="B616" t="s">
        <v>9</v>
      </c>
      <c r="C616" s="4">
        <v>12.496</v>
      </c>
      <c r="D616" s="8">
        <f>LOOKUP(EOMONTH(A616,0),Target_Prices!A$2:A$38,Target_Prices!G$2:G$38)</f>
        <v>17.178599999999999</v>
      </c>
      <c r="E616">
        <f t="shared" si="19"/>
        <v>0.10369192722133902</v>
      </c>
      <c r="F616">
        <f t="shared" si="20"/>
        <v>0.3747279129321382</v>
      </c>
    </row>
    <row r="617" spans="1:6" x14ac:dyDescent="0.35">
      <c r="A617" s="16">
        <v>44742</v>
      </c>
      <c r="B617" t="s">
        <v>9</v>
      </c>
      <c r="C617" s="3">
        <v>10.965999999999999</v>
      </c>
      <c r="D617" s="8">
        <f>LOOKUP(EOMONTH(A617,0),Target_Prices!A$2:A$38,Target_Prices!G$2:G$38)</f>
        <v>17.2</v>
      </c>
      <c r="E617">
        <f t="shared" si="19"/>
        <v>-0.12243918053777214</v>
      </c>
      <c r="F617">
        <f t="shared" si="20"/>
        <v>0.56848440634689046</v>
      </c>
    </row>
    <row r="618" spans="1:6" x14ac:dyDescent="0.35">
      <c r="A618" s="15">
        <v>44771</v>
      </c>
      <c r="B618" t="s">
        <v>9</v>
      </c>
      <c r="C618" s="4">
        <v>12.06</v>
      </c>
      <c r="D618" s="8">
        <f>LOOKUP(EOMONTH(A618,0),Target_Prices!A$2:A$38,Target_Prices!G$2:G$38)</f>
        <v>17.2</v>
      </c>
      <c r="E618">
        <f t="shared" ref="E618:E661" si="21">(C618/C617)-1</f>
        <v>9.9762903519970969E-2</v>
      </c>
      <c r="F618">
        <f t="shared" si="20"/>
        <v>0.42620232172470968</v>
      </c>
    </row>
    <row r="619" spans="1:6" x14ac:dyDescent="0.35">
      <c r="A619" s="16">
        <v>44804</v>
      </c>
      <c r="B619" t="s">
        <v>9</v>
      </c>
      <c r="C619" s="3">
        <v>11.868</v>
      </c>
      <c r="D619" s="8">
        <f>LOOKUP(EOMONTH(A619,0),Target_Prices!A$2:A$38,Target_Prices!G$2:G$38)</f>
        <v>17.2</v>
      </c>
      <c r="E619">
        <f t="shared" si="21"/>
        <v>-1.5920398009950265E-2</v>
      </c>
      <c r="F619">
        <f t="shared" si="20"/>
        <v>0.44927536231884047</v>
      </c>
    </row>
    <row r="620" spans="1:6" x14ac:dyDescent="0.35">
      <c r="A620" s="15">
        <v>44834</v>
      </c>
      <c r="B620" t="s">
        <v>9</v>
      </c>
      <c r="C620" s="4">
        <v>11.842000000000001</v>
      </c>
      <c r="D620" s="8">
        <f>LOOKUP(EOMONTH(A620,0),Target_Prices!A$2:A$38,Target_Prices!G$2:G$38)</f>
        <v>18.412400000000002</v>
      </c>
      <c r="E620">
        <f t="shared" si="21"/>
        <v>-2.1907650825749858E-3</v>
      </c>
      <c r="F620">
        <f t="shared" si="20"/>
        <v>0.55483870967741944</v>
      </c>
    </row>
    <row r="621" spans="1:6" x14ac:dyDescent="0.35">
      <c r="A621" s="16">
        <v>44865</v>
      </c>
      <c r="B621" t="s">
        <v>9</v>
      </c>
      <c r="C621" s="3">
        <v>13.154</v>
      </c>
      <c r="D621" s="8">
        <f>LOOKUP(EOMONTH(A621,0),Target_Prices!A$2:A$38,Target_Prices!G$2:G$38)</f>
        <v>18.412400000000002</v>
      </c>
      <c r="E621">
        <f t="shared" si="21"/>
        <v>0.11079209592974149</v>
      </c>
      <c r="F621">
        <f t="shared" si="20"/>
        <v>0.39975672799148559</v>
      </c>
    </row>
    <row r="622" spans="1:6" x14ac:dyDescent="0.35">
      <c r="A622" s="15">
        <v>44895</v>
      </c>
      <c r="B622" t="s">
        <v>9</v>
      </c>
      <c r="C622" s="4">
        <v>14.52</v>
      </c>
      <c r="D622" s="8">
        <f>LOOKUP(EOMONTH(A622,0),Target_Prices!A$2:A$38,Target_Prices!G$2:G$38)</f>
        <v>18.412400000000002</v>
      </c>
      <c r="E622">
        <f t="shared" si="21"/>
        <v>0.10384673863463578</v>
      </c>
      <c r="F622">
        <f t="shared" si="20"/>
        <v>0.26807162534435275</v>
      </c>
    </row>
    <row r="623" spans="1:6" x14ac:dyDescent="0.35">
      <c r="A623" s="16">
        <v>44925</v>
      </c>
      <c r="B623" t="s">
        <v>9</v>
      </c>
      <c r="C623" s="3">
        <v>13.3880005</v>
      </c>
      <c r="D623" s="8">
        <f>LOOKUP(EOMONTH(A623,0),Target_Prices!A$2:A$38,Target_Prices!G$2:G$38)</f>
        <v>17.764299999999999</v>
      </c>
      <c r="E623">
        <f t="shared" si="21"/>
        <v>-7.7961398071625276E-2</v>
      </c>
      <c r="F623">
        <f t="shared" si="20"/>
        <v>0.32688223308626246</v>
      </c>
    </row>
    <row r="624" spans="1:6" x14ac:dyDescent="0.35">
      <c r="A624" s="15">
        <v>44957</v>
      </c>
      <c r="B624" t="s">
        <v>9</v>
      </c>
      <c r="C624" s="4">
        <v>13.02</v>
      </c>
      <c r="D624" s="8">
        <f>LOOKUP(EOMONTH(A624,0),Target_Prices!A$2:A$38,Target_Prices!G$2:G$38)</f>
        <v>17.764299999999999</v>
      </c>
      <c r="E624">
        <f t="shared" si="21"/>
        <v>-2.7487338381859239E-2</v>
      </c>
      <c r="F624">
        <f t="shared" si="20"/>
        <v>0.36438556067588318</v>
      </c>
    </row>
    <row r="625" spans="1:6" x14ac:dyDescent="0.35">
      <c r="A625" s="16">
        <v>44985</v>
      </c>
      <c r="B625" t="s">
        <v>9</v>
      </c>
      <c r="C625" s="3">
        <v>13.836</v>
      </c>
      <c r="D625" s="8">
        <f>LOOKUP(EOMONTH(A625,0),Target_Prices!A$2:A$38,Target_Prices!G$2:G$38)</f>
        <v>17.764299999999999</v>
      </c>
      <c r="E625">
        <f t="shared" si="21"/>
        <v>6.2672811059907962E-2</v>
      </c>
      <c r="F625">
        <f t="shared" si="20"/>
        <v>0.28391876264816407</v>
      </c>
    </row>
    <row r="626" spans="1:6" x14ac:dyDescent="0.35">
      <c r="A626" s="15">
        <v>45016</v>
      </c>
      <c r="B626" t="s">
        <v>9</v>
      </c>
      <c r="C626" s="4">
        <v>14.574</v>
      </c>
      <c r="D626" s="8">
        <f>LOOKUP(EOMONTH(A626,0),Target_Prices!A$2:A$38,Target_Prices!G$2:G$38)</f>
        <v>16.629300000000001</v>
      </c>
      <c r="E626">
        <f t="shared" si="21"/>
        <v>5.333911535125746E-2</v>
      </c>
      <c r="F626">
        <f t="shared" si="20"/>
        <v>0.141025113215315</v>
      </c>
    </row>
    <row r="627" spans="1:6" x14ac:dyDescent="0.35">
      <c r="A627" s="16">
        <v>45044</v>
      </c>
      <c r="B627" t="s">
        <v>9</v>
      </c>
      <c r="C627" s="3">
        <v>14.516</v>
      </c>
      <c r="D627" s="8">
        <f>LOOKUP(EOMONTH(A627,0),Target_Prices!A$2:A$38,Target_Prices!G$2:G$38)</f>
        <v>16.629300000000001</v>
      </c>
      <c r="E627">
        <f t="shared" si="21"/>
        <v>-3.9796898586523799E-3</v>
      </c>
      <c r="F627">
        <f t="shared" si="20"/>
        <v>0.14558418297051534</v>
      </c>
    </row>
    <row r="628" spans="1:6" x14ac:dyDescent="0.35">
      <c r="A628" s="15">
        <v>45077</v>
      </c>
      <c r="B628" t="s">
        <v>9</v>
      </c>
      <c r="C628" s="4">
        <v>14.042</v>
      </c>
      <c r="D628" s="8">
        <f>LOOKUP(EOMONTH(A628,0),Target_Prices!A$2:A$38,Target_Prices!G$2:G$38)</f>
        <v>16.629300000000001</v>
      </c>
      <c r="E628">
        <f t="shared" si="21"/>
        <v>-3.2653623587765246E-2</v>
      </c>
      <c r="F628">
        <f t="shared" si="20"/>
        <v>0.18425437971798894</v>
      </c>
    </row>
    <row r="629" spans="1:6" x14ac:dyDescent="0.35">
      <c r="A629" s="16">
        <v>45107</v>
      </c>
      <c r="B629" t="s">
        <v>9</v>
      </c>
      <c r="C629" s="3">
        <v>15.228</v>
      </c>
      <c r="D629" s="8">
        <f>LOOKUP(EOMONTH(A629,0),Target_Prices!A$2:A$38,Target_Prices!G$2:G$38)</f>
        <v>17.0123</v>
      </c>
      <c r="E629">
        <f t="shared" si="21"/>
        <v>8.4460903005269872E-2</v>
      </c>
      <c r="F629">
        <f t="shared" si="20"/>
        <v>0.11717231415812976</v>
      </c>
    </row>
    <row r="630" spans="1:6" x14ac:dyDescent="0.35">
      <c r="A630" s="15">
        <v>45138</v>
      </c>
      <c r="B630" t="s">
        <v>9</v>
      </c>
      <c r="C630" s="4">
        <v>14.912000000000001</v>
      </c>
      <c r="D630" s="8">
        <f>LOOKUP(EOMONTH(A630,0),Target_Prices!A$2:A$38,Target_Prices!G$2:G$38)</f>
        <v>17.0123</v>
      </c>
      <c r="E630">
        <f t="shared" si="21"/>
        <v>-2.0751247701602193E-2</v>
      </c>
      <c r="F630">
        <f t="shared" si="20"/>
        <v>0.14084629828326173</v>
      </c>
    </row>
    <row r="631" spans="1:6" x14ac:dyDescent="0.35">
      <c r="A631" s="16">
        <v>45169</v>
      </c>
      <c r="B631" t="s">
        <v>9</v>
      </c>
      <c r="C631" s="3">
        <v>14.89</v>
      </c>
      <c r="D631" s="8">
        <f>LOOKUP(EOMONTH(A631,0),Target_Prices!A$2:A$38,Target_Prices!G$2:G$38)</f>
        <v>17.0123</v>
      </c>
      <c r="E631">
        <f t="shared" si="21"/>
        <v>-1.47532188841204E-3</v>
      </c>
      <c r="F631">
        <f t="shared" si="20"/>
        <v>0.14253190060443244</v>
      </c>
    </row>
    <row r="632" spans="1:6" x14ac:dyDescent="0.35">
      <c r="A632" s="15">
        <v>45198</v>
      </c>
      <c r="B632" t="s">
        <v>9</v>
      </c>
      <c r="C632" s="4">
        <v>14.53</v>
      </c>
      <c r="D632" s="8">
        <f>LOOKUP(EOMONTH(A632,0),Target_Prices!A$2:A$38,Target_Prices!G$2:G$38)</f>
        <v>18.195</v>
      </c>
      <c r="E632">
        <f t="shared" si="21"/>
        <v>-2.417730020147757E-2</v>
      </c>
      <c r="F632">
        <f t="shared" si="20"/>
        <v>0.25223675154852038</v>
      </c>
    </row>
    <row r="633" spans="1:6" x14ac:dyDescent="0.35">
      <c r="A633" s="16">
        <v>45230</v>
      </c>
      <c r="B633" t="s">
        <v>9</v>
      </c>
      <c r="C633" s="3">
        <v>15.004</v>
      </c>
      <c r="D633" s="8">
        <f>LOOKUP(EOMONTH(A633,0),Target_Prices!A$2:A$38,Target_Prices!G$2:G$38)</f>
        <v>18.195</v>
      </c>
      <c r="E633">
        <f t="shared" si="21"/>
        <v>3.2622161046111486E-2</v>
      </c>
      <c r="F633">
        <f t="shared" si="20"/>
        <v>0.21267661956811523</v>
      </c>
    </row>
    <row r="634" spans="1:6" x14ac:dyDescent="0.35">
      <c r="A634" s="15">
        <v>45260</v>
      </c>
      <c r="B634" t="s">
        <v>9</v>
      </c>
      <c r="C634" s="4">
        <v>15.917999999999999</v>
      </c>
      <c r="D634" s="8">
        <f>LOOKUP(EOMONTH(A634,0),Target_Prices!A$2:A$38,Target_Prices!G$2:G$38)</f>
        <v>18.195</v>
      </c>
      <c r="E634">
        <f t="shared" si="21"/>
        <v>6.09170887763264E-2</v>
      </c>
      <c r="F634">
        <f t="shared" si="20"/>
        <v>0.14304560874481725</v>
      </c>
    </row>
    <row r="635" spans="1:6" x14ac:dyDescent="0.35">
      <c r="A635" s="16">
        <v>45289</v>
      </c>
      <c r="B635" t="s">
        <v>9</v>
      </c>
      <c r="C635" s="3">
        <v>15.917999999999999</v>
      </c>
      <c r="D635" s="8">
        <f>LOOKUP(EOMONTH(A635,0),Target_Prices!A$2:A$38,Target_Prices!G$2:G$38)</f>
        <v>18.584599999999998</v>
      </c>
      <c r="E635">
        <f t="shared" si="21"/>
        <v>0</v>
      </c>
      <c r="F635">
        <f t="shared" si="20"/>
        <v>0.1675210453574569</v>
      </c>
    </row>
    <row r="636" spans="1:6" x14ac:dyDescent="0.35">
      <c r="A636" s="15">
        <v>45322</v>
      </c>
      <c r="B636" t="s">
        <v>9</v>
      </c>
      <c r="C636" s="4">
        <v>14.81</v>
      </c>
      <c r="D636" s="8">
        <f>LOOKUP(EOMONTH(A636,0),Target_Prices!A$2:A$38,Target_Prices!G$2:G$38)</f>
        <v>18.584599999999998</v>
      </c>
      <c r="E636">
        <f t="shared" si="21"/>
        <v>-6.9606734514386148E-2</v>
      </c>
      <c r="F636">
        <f t="shared" si="20"/>
        <v>0.25486833220796745</v>
      </c>
    </row>
    <row r="637" spans="1:6" x14ac:dyDescent="0.35">
      <c r="A637" s="16">
        <v>45351</v>
      </c>
      <c r="B637" t="s">
        <v>9</v>
      </c>
      <c r="C637" s="3">
        <v>14.836</v>
      </c>
      <c r="D637" s="8">
        <f>LOOKUP(EOMONTH(A637,0),Target_Prices!A$2:A$38,Target_Prices!G$2:G$38)</f>
        <v>18.584599999999998</v>
      </c>
      <c r="E637">
        <f t="shared" si="21"/>
        <v>1.7555705604321847E-3</v>
      </c>
      <c r="F637">
        <f t="shared" si="20"/>
        <v>0.25266918306821229</v>
      </c>
    </row>
    <row r="638" spans="1:6" x14ac:dyDescent="0.35">
      <c r="A638" s="15">
        <v>45380</v>
      </c>
      <c r="B638" t="s">
        <v>9</v>
      </c>
      <c r="C638" s="4">
        <v>15.51</v>
      </c>
      <c r="D638" s="8">
        <f>LOOKUP(EOMONTH(A638,0),Target_Prices!A$2:A$38,Target_Prices!G$2:G$38)</f>
        <v>18.384599999999999</v>
      </c>
      <c r="E638">
        <f t="shared" si="21"/>
        <v>4.5430035049878636E-2</v>
      </c>
      <c r="F638">
        <f t="shared" si="20"/>
        <v>0.18533849129593805</v>
      </c>
    </row>
    <row r="639" spans="1:6" x14ac:dyDescent="0.35">
      <c r="A639" s="16">
        <v>45412</v>
      </c>
      <c r="B639" t="s">
        <v>9</v>
      </c>
      <c r="C639" s="3">
        <v>16.27</v>
      </c>
      <c r="D639" s="8">
        <f>LOOKUP(EOMONTH(A639,0),Target_Prices!A$2:A$38,Target_Prices!G$2:G$38)</f>
        <v>18.384599999999999</v>
      </c>
      <c r="E639">
        <f t="shared" si="21"/>
        <v>4.9000644745325506E-2</v>
      </c>
      <c r="F639">
        <f t="shared" si="20"/>
        <v>0.12996926859250149</v>
      </c>
    </row>
    <row r="640" spans="1:6" x14ac:dyDescent="0.35">
      <c r="A640" s="15">
        <v>45443</v>
      </c>
      <c r="B640" t="s">
        <v>9</v>
      </c>
      <c r="C640" s="4">
        <v>15.535</v>
      </c>
      <c r="D640" s="8">
        <f>LOOKUP(EOMONTH(A640,0),Target_Prices!A$2:A$38,Target_Prices!G$2:G$38)</f>
        <v>18.384599999999999</v>
      </c>
      <c r="E640">
        <f t="shared" si="21"/>
        <v>-4.5175169022741213E-2</v>
      </c>
      <c r="F640">
        <f t="shared" si="20"/>
        <v>0.18343096234309617</v>
      </c>
    </row>
    <row r="641" spans="1:6" x14ac:dyDescent="0.35">
      <c r="A641" s="16">
        <v>45471</v>
      </c>
      <c r="B641" t="s">
        <v>9</v>
      </c>
      <c r="C641" s="3">
        <v>13.335000000000001</v>
      </c>
      <c r="D641" s="8">
        <f>LOOKUP(EOMONTH(A641,0),Target_Prices!A$2:A$38,Target_Prices!G$2:G$38)</f>
        <v>18.438500000000001</v>
      </c>
      <c r="E641">
        <f t="shared" si="21"/>
        <v>-0.14161570646926291</v>
      </c>
      <c r="F641">
        <f t="shared" si="20"/>
        <v>0.38271466066741655</v>
      </c>
    </row>
    <row r="642" spans="1:6" x14ac:dyDescent="0.35">
      <c r="A642" s="15">
        <v>45504</v>
      </c>
      <c r="B642" t="s">
        <v>9</v>
      </c>
      <c r="C642" s="4">
        <v>14.54</v>
      </c>
      <c r="D642" s="8">
        <f>LOOKUP(EOMONTH(A642,0),Target_Prices!A$2:A$38,Target_Prices!G$2:G$38)</f>
        <v>18.438500000000001</v>
      </c>
      <c r="E642">
        <f t="shared" si="21"/>
        <v>9.0363704536932765E-2</v>
      </c>
      <c r="F642">
        <f t="shared" si="20"/>
        <v>0.26812242090784061</v>
      </c>
    </row>
    <row r="643" spans="1:6" x14ac:dyDescent="0.35">
      <c r="A643" s="16">
        <v>45534</v>
      </c>
      <c r="B643" t="s">
        <v>9</v>
      </c>
      <c r="C643" s="3">
        <v>15.93</v>
      </c>
      <c r="D643" s="8">
        <f>LOOKUP(EOMONTH(A643,0),Target_Prices!A$2:A$38,Target_Prices!G$2:G$38)</f>
        <v>18.438500000000001</v>
      </c>
      <c r="E643">
        <f t="shared" si="21"/>
        <v>9.5598349381017966E-2</v>
      </c>
      <c r="F643">
        <f t="shared" ref="F643:F706" si="22">(D643-C643)/C643</f>
        <v>0.15747018204645333</v>
      </c>
    </row>
    <row r="644" spans="1:6" x14ac:dyDescent="0.35">
      <c r="A644" s="15">
        <v>45565</v>
      </c>
      <c r="B644" t="s">
        <v>9</v>
      </c>
      <c r="C644" s="4">
        <v>15.515000000000001</v>
      </c>
      <c r="D644" s="8">
        <f>LOOKUP(EOMONTH(A644,0),Target_Prices!A$2:A$38,Target_Prices!G$2:G$38)</f>
        <v>18.8385</v>
      </c>
      <c r="E644">
        <f t="shared" si="21"/>
        <v>-2.6051475204017516E-2</v>
      </c>
      <c r="F644">
        <f t="shared" si="22"/>
        <v>0.21421205285207859</v>
      </c>
    </row>
    <row r="645" spans="1:6" x14ac:dyDescent="0.35">
      <c r="A645" s="16">
        <v>45596</v>
      </c>
      <c r="B645" t="s">
        <v>9</v>
      </c>
      <c r="C645" s="3">
        <v>15.414999999999999</v>
      </c>
      <c r="D645" s="8">
        <f>LOOKUP(EOMONTH(A645,0),Target_Prices!A$2:A$38,Target_Prices!G$2:G$38)</f>
        <v>18.8385</v>
      </c>
      <c r="E645">
        <f t="shared" si="21"/>
        <v>-6.4453754431196275E-3</v>
      </c>
      <c r="F645">
        <f t="shared" si="22"/>
        <v>0.22208887447291606</v>
      </c>
    </row>
    <row r="646" spans="1:6" x14ac:dyDescent="0.35">
      <c r="A646" s="15">
        <v>45625</v>
      </c>
      <c r="B646" t="s">
        <v>9</v>
      </c>
      <c r="C646" s="4">
        <v>15.085000000000001</v>
      </c>
      <c r="D646" s="8">
        <f>LOOKUP(EOMONTH(A646,0),Target_Prices!A$2:A$38,Target_Prices!G$2:G$38)</f>
        <v>18.8385</v>
      </c>
      <c r="E646">
        <f t="shared" si="21"/>
        <v>-2.1407719753486765E-2</v>
      </c>
      <c r="F646">
        <f t="shared" si="22"/>
        <v>0.24882333443818355</v>
      </c>
    </row>
    <row r="647" spans="1:6" x14ac:dyDescent="0.35">
      <c r="A647" s="16">
        <v>45657</v>
      </c>
      <c r="B647" t="s">
        <v>9</v>
      </c>
      <c r="C647" s="3">
        <v>15.31</v>
      </c>
      <c r="D647" s="8">
        <f>LOOKUP(EOMONTH(A647,0),Target_Prices!A$2:A$38,Target_Prices!G$2:G$38)</f>
        <v>18.831199999999999</v>
      </c>
      <c r="E647">
        <f t="shared" si="21"/>
        <v>1.4915478952601813E-2</v>
      </c>
      <c r="F647">
        <f t="shared" si="22"/>
        <v>0.22999346832135847</v>
      </c>
    </row>
    <row r="648" spans="1:6" x14ac:dyDescent="0.35">
      <c r="A648" s="15">
        <v>45688</v>
      </c>
      <c r="B648" t="s">
        <v>9</v>
      </c>
      <c r="C648" s="4">
        <v>15.914999999999999</v>
      </c>
      <c r="D648" s="8">
        <f>LOOKUP(EOMONTH(A648,0),Target_Prices!A$2:A$38,Target_Prices!G$2:G$38)</f>
        <v>18.831199999999999</v>
      </c>
      <c r="E648">
        <f t="shared" si="21"/>
        <v>3.9516655780535537E-2</v>
      </c>
      <c r="F648">
        <f t="shared" si="22"/>
        <v>0.1832359409362237</v>
      </c>
    </row>
    <row r="649" spans="1:6" x14ac:dyDescent="0.35">
      <c r="A649" s="16">
        <v>45716</v>
      </c>
      <c r="B649" t="s">
        <v>9</v>
      </c>
      <c r="C649" s="3">
        <v>17.239999999999998</v>
      </c>
      <c r="D649" s="8">
        <f>LOOKUP(EOMONTH(A649,0),Target_Prices!A$2:A$38,Target_Prices!G$2:G$38)</f>
        <v>18.831199999999999</v>
      </c>
      <c r="E649">
        <f t="shared" si="21"/>
        <v>8.325479107759981E-2</v>
      </c>
      <c r="F649">
        <f t="shared" si="22"/>
        <v>9.229698375870074E-2</v>
      </c>
    </row>
    <row r="650" spans="1:6" x14ac:dyDescent="0.35">
      <c r="A650" s="15">
        <v>45747</v>
      </c>
      <c r="B650" t="s">
        <v>9</v>
      </c>
      <c r="C650" s="4">
        <v>18.035</v>
      </c>
      <c r="D650" s="8">
        <f>LOOKUP(EOMONTH(A650,0),Target_Prices!A$2:A$38,Target_Prices!G$2:G$38)</f>
        <v>19.574999999999999</v>
      </c>
      <c r="E650">
        <f t="shared" si="21"/>
        <v>4.6113689095127697E-2</v>
      </c>
      <c r="F650">
        <f t="shared" si="22"/>
        <v>8.5389520377044587E-2</v>
      </c>
    </row>
    <row r="651" spans="1:6" x14ac:dyDescent="0.35">
      <c r="A651" s="16">
        <v>45777</v>
      </c>
      <c r="B651" t="s">
        <v>9</v>
      </c>
      <c r="C651" s="3">
        <v>18.184999999999999</v>
      </c>
      <c r="D651" s="8">
        <f>LOOKUP(EOMONTH(A651,0),Target_Prices!A$2:A$38,Target_Prices!G$2:G$38)</f>
        <v>19.574999999999999</v>
      </c>
      <c r="E651">
        <f t="shared" si="21"/>
        <v>8.3171610756860304E-3</v>
      </c>
      <c r="F651">
        <f t="shared" si="22"/>
        <v>7.6436623590871638E-2</v>
      </c>
    </row>
    <row r="652" spans="1:6" x14ac:dyDescent="0.35">
      <c r="A652" s="15">
        <v>45807</v>
      </c>
      <c r="B652" t="s">
        <v>9</v>
      </c>
      <c r="C652" s="4">
        <v>18.984999999999999</v>
      </c>
      <c r="D652" s="8">
        <f>LOOKUP(EOMONTH(A652,0),Target_Prices!A$2:A$38,Target_Prices!G$2:G$38)</f>
        <v>19.574999999999999</v>
      </c>
      <c r="E652">
        <f t="shared" si="21"/>
        <v>4.3992301347264284E-2</v>
      </c>
      <c r="F652">
        <f t="shared" si="22"/>
        <v>3.1077166183829334E-2</v>
      </c>
    </row>
    <row r="653" spans="1:6" x14ac:dyDescent="0.35">
      <c r="A653" s="16">
        <v>45838</v>
      </c>
      <c r="B653" t="s">
        <v>9</v>
      </c>
      <c r="C653" s="3">
        <v>19.925000000000001</v>
      </c>
      <c r="D653" s="8">
        <f>LOOKUP(EOMONTH(A653,0),Target_Prices!A$2:A$38,Target_Prices!G$2:G$38)</f>
        <v>21.273299999999999</v>
      </c>
      <c r="E653">
        <f t="shared" si="21"/>
        <v>4.9512773242033292E-2</v>
      </c>
      <c r="F653">
        <f t="shared" si="22"/>
        <v>6.7668757841907068E-2</v>
      </c>
    </row>
    <row r="654" spans="1:6" x14ac:dyDescent="0.35">
      <c r="A654" s="15">
        <v>45869</v>
      </c>
      <c r="B654" t="s">
        <v>9</v>
      </c>
      <c r="C654" s="4">
        <v>19.62</v>
      </c>
      <c r="D654" s="8">
        <f>LOOKUP(EOMONTH(A654,0),Target_Prices!A$2:A$38,Target_Prices!G$2:G$38)</f>
        <v>21.273299999999999</v>
      </c>
      <c r="E654">
        <f t="shared" si="21"/>
        <v>-1.5307402760351252E-2</v>
      </c>
      <c r="F654">
        <f t="shared" si="22"/>
        <v>8.4266055045871452E-2</v>
      </c>
    </row>
    <row r="655" spans="1:6" x14ac:dyDescent="0.35">
      <c r="A655" s="16">
        <v>45898</v>
      </c>
      <c r="B655" t="s">
        <v>9</v>
      </c>
      <c r="C655" s="3">
        <v>17.690000000000001</v>
      </c>
      <c r="D655" s="8">
        <f>LOOKUP(EOMONTH(A655,0),Target_Prices!A$2:A$38,Target_Prices!G$2:G$38)</f>
        <v>21.273299999999999</v>
      </c>
      <c r="E655">
        <f t="shared" si="21"/>
        <v>-9.8369011213047863E-2</v>
      </c>
      <c r="F655">
        <f t="shared" si="22"/>
        <v>0.20256076879592977</v>
      </c>
    </row>
    <row r="656" spans="1:6" x14ac:dyDescent="0.35">
      <c r="A656" s="15">
        <v>45930</v>
      </c>
      <c r="B656" t="s">
        <v>9</v>
      </c>
      <c r="C656" s="4">
        <v>18.254999999999999</v>
      </c>
      <c r="D656" s="8">
        <f>LOOKUP(EOMONTH(A656,0),Target_Prices!A$2:A$38,Target_Prices!G$2:G$38)</f>
        <v>21.833300000000001</v>
      </c>
      <c r="E656">
        <f t="shared" si="21"/>
        <v>3.1938948558507541E-2</v>
      </c>
      <c r="F656">
        <f t="shared" si="22"/>
        <v>0.19601752944398809</v>
      </c>
    </row>
    <row r="657" spans="1:6" x14ac:dyDescent="0.35">
      <c r="A657" s="16">
        <v>45961</v>
      </c>
      <c r="B657" t="s">
        <v>9</v>
      </c>
      <c r="C657" s="3">
        <v>20.3</v>
      </c>
      <c r="D657" s="8">
        <f>LOOKUP(EOMONTH(A657,0),Target_Prices!A$2:A$38,Target_Prices!G$2:G$38)</f>
        <v>21.833300000000001</v>
      </c>
      <c r="E657">
        <f t="shared" si="21"/>
        <v>0.1120241029854836</v>
      </c>
      <c r="F657">
        <f t="shared" si="22"/>
        <v>7.5532019704433517E-2</v>
      </c>
    </row>
    <row r="658" spans="1:6" x14ac:dyDescent="0.35">
      <c r="A658" s="15">
        <v>45989</v>
      </c>
      <c r="B658" t="s">
        <v>9</v>
      </c>
      <c r="C658" s="4">
        <v>21.9</v>
      </c>
      <c r="D658" s="8">
        <f>LOOKUP(EOMONTH(A658,0),Target_Prices!A$2:A$38,Target_Prices!G$2:G$38)</f>
        <v>21.833300000000001</v>
      </c>
      <c r="E658">
        <f t="shared" si="21"/>
        <v>7.8817733990147687E-2</v>
      </c>
      <c r="F658">
        <f t="shared" si="22"/>
        <v>-3.0456621004564988E-3</v>
      </c>
    </row>
    <row r="659" spans="1:6" x14ac:dyDescent="0.35">
      <c r="A659" s="16">
        <v>46022</v>
      </c>
      <c r="B659" t="s">
        <v>9</v>
      </c>
      <c r="C659" s="3">
        <v>22.41</v>
      </c>
      <c r="D659" s="8">
        <f>LOOKUP(EOMONTH(A659,0),Target_Prices!A$2:A$38,Target_Prices!G$2:G$38)</f>
        <v>24.323499999999999</v>
      </c>
      <c r="E659">
        <f t="shared" si="21"/>
        <v>2.3287671232876894E-2</v>
      </c>
      <c r="F659">
        <f t="shared" si="22"/>
        <v>8.5385988398036544E-2</v>
      </c>
    </row>
    <row r="660" spans="1:6" x14ac:dyDescent="0.35">
      <c r="A660" s="15">
        <v>46052</v>
      </c>
      <c r="B660" t="s">
        <v>9</v>
      </c>
      <c r="C660" s="4">
        <v>25.1</v>
      </c>
      <c r="D660" s="8">
        <f>LOOKUP(EOMONTH(A660,0),Target_Prices!A$2:A$38,Target_Prices!G$2:G$38)</f>
        <v>24.323499999999999</v>
      </c>
      <c r="E660">
        <f t="shared" si="21"/>
        <v>0.12003569834895145</v>
      </c>
      <c r="F660">
        <f t="shared" si="22"/>
        <v>-3.0936254980079767E-2</v>
      </c>
    </row>
    <row r="661" spans="1:6" s="11" customFormat="1" x14ac:dyDescent="0.35">
      <c r="A661" s="15">
        <v>46080</v>
      </c>
      <c r="B661" s="11" t="s">
        <v>9</v>
      </c>
      <c r="C661" s="3">
        <v>28.93</v>
      </c>
      <c r="D661" s="8">
        <f>LOOKUP(EOMONTH(A661,0),Target_Prices!A$2:A$38,Target_Prices!G$2:G$38)</f>
        <v>24.323499999999999</v>
      </c>
      <c r="E661">
        <f t="shared" si="21"/>
        <v>0.1525896414342629</v>
      </c>
      <c r="F661">
        <f t="shared" si="22"/>
        <v>-0.15922917386795715</v>
      </c>
    </row>
    <row r="662" spans="1:6" x14ac:dyDescent="0.35">
      <c r="A662" s="15">
        <v>42766</v>
      </c>
      <c r="B662" t="s">
        <v>10</v>
      </c>
      <c r="C662" s="4">
        <v>2.6111947999999998</v>
      </c>
      <c r="D662" s="8">
        <f>LOOKUP(EOMONTH(A662,0),Target_Prices!A$2:A$38,Target_Prices!H$2:H$38)</f>
        <v>2.7897599999999998</v>
      </c>
      <c r="F662">
        <f t="shared" si="22"/>
        <v>6.8384480545074608E-2</v>
      </c>
    </row>
    <row r="663" spans="1:6" x14ac:dyDescent="0.35">
      <c r="A663" s="16">
        <v>42794</v>
      </c>
      <c r="B663" t="s">
        <v>10</v>
      </c>
      <c r="C663" s="3">
        <v>2.6572027</v>
      </c>
      <c r="D663" s="8">
        <f>LOOKUP(EOMONTH(A663,0),Target_Prices!A$2:A$38,Target_Prices!H$2:H$38)</f>
        <v>2.7897599999999998</v>
      </c>
      <c r="E663">
        <f>(C663/C662)-1</f>
        <v>1.7619482085365679E-2</v>
      </c>
      <c r="F663">
        <f t="shared" si="22"/>
        <v>4.988603240543138E-2</v>
      </c>
    </row>
    <row r="664" spans="1:6" x14ac:dyDescent="0.35">
      <c r="A664" s="15">
        <v>42825</v>
      </c>
      <c r="B664" t="s">
        <v>10</v>
      </c>
      <c r="C664" s="4">
        <v>2.5370263999999998</v>
      </c>
      <c r="D664" s="8">
        <f>LOOKUP(EOMONTH(A664,0),Target_Prices!A$2:A$38,Target_Prices!H$2:H$38)</f>
        <v>2.6059399999999999</v>
      </c>
      <c r="E664">
        <f t="shared" ref="E664:E727" si="23">(C664/C663)-1</f>
        <v>-4.5226621213353524E-2</v>
      </c>
      <c r="F664">
        <f t="shared" si="22"/>
        <v>2.7163138704429775E-2</v>
      </c>
    </row>
    <row r="665" spans="1:6" x14ac:dyDescent="0.35">
      <c r="A665" s="16">
        <v>42853</v>
      </c>
      <c r="B665" t="s">
        <v>10</v>
      </c>
      <c r="C665" s="3">
        <v>2.3511926999999999</v>
      </c>
      <c r="D665" s="8">
        <f>LOOKUP(EOMONTH(A665,0),Target_Prices!A$2:A$38,Target_Prices!H$2:H$38)</f>
        <v>2.6059399999999999</v>
      </c>
      <c r="E665">
        <f t="shared" si="23"/>
        <v>-7.3248626817600249E-2</v>
      </c>
      <c r="F665">
        <f t="shared" si="22"/>
        <v>0.10834811625606018</v>
      </c>
    </row>
    <row r="666" spans="1:6" x14ac:dyDescent="0.35">
      <c r="A666" s="15">
        <v>42886</v>
      </c>
      <c r="B666" t="s">
        <v>10</v>
      </c>
      <c r="C666" s="4">
        <v>2.3339273999999999</v>
      </c>
      <c r="D666" s="8">
        <f>LOOKUP(EOMONTH(A666,0),Target_Prices!A$2:A$38,Target_Prices!H$2:H$38)</f>
        <v>2.6059399999999999</v>
      </c>
      <c r="E666">
        <f t="shared" si="23"/>
        <v>-7.3432092571570351E-3</v>
      </c>
      <c r="F666">
        <f t="shared" si="22"/>
        <v>0.11654715566559613</v>
      </c>
    </row>
    <row r="667" spans="1:6" x14ac:dyDescent="0.35">
      <c r="A667" s="16">
        <v>42916</v>
      </c>
      <c r="B667" t="s">
        <v>10</v>
      </c>
      <c r="C667" s="3">
        <v>2.2800386000000001</v>
      </c>
      <c r="D667" s="8">
        <f>LOOKUP(EOMONTH(A667,0),Target_Prices!A$2:A$38,Target_Prices!H$2:H$38)</f>
        <v>2.36191</v>
      </c>
      <c r="E667">
        <f t="shared" si="23"/>
        <v>-2.3089321458756529E-2</v>
      </c>
      <c r="F667">
        <f t="shared" si="22"/>
        <v>3.590790085746786E-2</v>
      </c>
    </row>
    <row r="668" spans="1:6" x14ac:dyDescent="0.35">
      <c r="A668" s="15">
        <v>42947</v>
      </c>
      <c r="B668" t="s">
        <v>10</v>
      </c>
      <c r="C668" s="4">
        <v>2.2196137999999999</v>
      </c>
      <c r="D668" s="8">
        <f>LOOKUP(EOMONTH(A668,0),Target_Prices!A$2:A$38,Target_Prices!H$2:H$38)</f>
        <v>2.36191</v>
      </c>
      <c r="E668">
        <f t="shared" si="23"/>
        <v>-2.6501656594761225E-2</v>
      </c>
      <c r="F668">
        <f t="shared" si="22"/>
        <v>6.4108539963123365E-2</v>
      </c>
    </row>
    <row r="669" spans="1:6" x14ac:dyDescent="0.35">
      <c r="A669" s="16">
        <v>42978</v>
      </c>
      <c r="B669" t="s">
        <v>10</v>
      </c>
      <c r="C669" s="3">
        <v>2.1665502000000001</v>
      </c>
      <c r="D669" s="8">
        <f>LOOKUP(EOMONTH(A669,0),Target_Prices!A$2:A$38,Target_Prices!H$2:H$38)</f>
        <v>2.36191</v>
      </c>
      <c r="E669">
        <f t="shared" si="23"/>
        <v>-2.3906681423588094E-2</v>
      </c>
      <c r="F669">
        <f t="shared" si="22"/>
        <v>9.017090857160838E-2</v>
      </c>
    </row>
    <row r="670" spans="1:6" x14ac:dyDescent="0.35">
      <c r="A670" s="15">
        <v>43007</v>
      </c>
      <c r="B670" t="s">
        <v>10</v>
      </c>
      <c r="C670" s="4">
        <v>2.1222173999999998</v>
      </c>
      <c r="D670" s="8">
        <f>LOOKUP(EOMONTH(A670,0),Target_Prices!A$2:A$38,Target_Prices!H$2:H$38)</f>
        <v>2.3498999999999999</v>
      </c>
      <c r="E670">
        <f t="shared" si="23"/>
        <v>-2.0462392239976812E-2</v>
      </c>
      <c r="F670">
        <f t="shared" si="22"/>
        <v>0.10728523854342166</v>
      </c>
    </row>
    <row r="671" spans="1:6" x14ac:dyDescent="0.35">
      <c r="A671" s="16">
        <v>43039</v>
      </c>
      <c r="B671" t="s">
        <v>10</v>
      </c>
      <c r="C671" s="3">
        <v>1.9355845</v>
      </c>
      <c r="D671" s="8">
        <f>LOOKUP(EOMONTH(A671,0),Target_Prices!A$2:A$38,Target_Prices!H$2:H$38)</f>
        <v>2.3498999999999999</v>
      </c>
      <c r="E671">
        <f t="shared" si="23"/>
        <v>-8.7942404015724174E-2</v>
      </c>
      <c r="F671">
        <f t="shared" si="22"/>
        <v>0.2140518794193691</v>
      </c>
    </row>
    <row r="672" spans="1:6" x14ac:dyDescent="0.35">
      <c r="A672" s="15">
        <v>43069</v>
      </c>
      <c r="B672" t="s">
        <v>10</v>
      </c>
      <c r="C672" s="4">
        <v>1.6416135000000001</v>
      </c>
      <c r="D672" s="8">
        <f>LOOKUP(EOMONTH(A672,0),Target_Prices!A$2:A$38,Target_Prices!H$2:H$38)</f>
        <v>2.3498999999999999</v>
      </c>
      <c r="E672">
        <f t="shared" si="23"/>
        <v>-0.15187712032205258</v>
      </c>
      <c r="F672">
        <f t="shared" si="22"/>
        <v>0.43145752639095608</v>
      </c>
    </row>
    <row r="673" spans="1:6" x14ac:dyDescent="0.35">
      <c r="A673" s="16">
        <v>43098</v>
      </c>
      <c r="B673" t="s">
        <v>10</v>
      </c>
      <c r="C673" s="3">
        <v>1.5467404</v>
      </c>
      <c r="D673" s="8">
        <f>LOOKUP(EOMONTH(A673,0),Target_Prices!A$2:A$38,Target_Prices!H$2:H$38)</f>
        <v>1.7805299999999999</v>
      </c>
      <c r="E673">
        <f t="shared" si="23"/>
        <v>-5.7792592470761295E-2</v>
      </c>
      <c r="F673">
        <f t="shared" si="22"/>
        <v>0.15114986328668983</v>
      </c>
    </row>
    <row r="674" spans="1:6" x14ac:dyDescent="0.35">
      <c r="A674" s="15">
        <v>43131</v>
      </c>
      <c r="B674" t="s">
        <v>10</v>
      </c>
      <c r="C674" s="4">
        <v>1.5233601000000001</v>
      </c>
      <c r="D674" s="8">
        <f>LOOKUP(EOMONTH(A674,0),Target_Prices!A$2:A$38,Target_Prices!H$2:H$38)</f>
        <v>1.7805299999999999</v>
      </c>
      <c r="E674">
        <f t="shared" si="23"/>
        <v>-1.5115852666678808E-2</v>
      </c>
      <c r="F674">
        <f t="shared" si="22"/>
        <v>0.1688175369697551</v>
      </c>
    </row>
    <row r="675" spans="1:6" x14ac:dyDescent="0.35">
      <c r="A675" s="16">
        <v>43159</v>
      </c>
      <c r="B675" t="s">
        <v>10</v>
      </c>
      <c r="C675" s="3">
        <v>1.6154845</v>
      </c>
      <c r="D675" s="8">
        <f>LOOKUP(EOMONTH(A675,0),Target_Prices!A$2:A$38,Target_Prices!H$2:H$38)</f>
        <v>1.7805299999999999</v>
      </c>
      <c r="E675">
        <f t="shared" si="23"/>
        <v>6.04744735010454E-2</v>
      </c>
      <c r="F675">
        <f t="shared" si="22"/>
        <v>0.10216470662516412</v>
      </c>
    </row>
    <row r="676" spans="1:6" x14ac:dyDescent="0.35">
      <c r="A676" s="15">
        <v>43189</v>
      </c>
      <c r="B676" t="s">
        <v>10</v>
      </c>
      <c r="C676" s="4">
        <v>1.6219714000000001</v>
      </c>
      <c r="D676" s="8">
        <f>LOOKUP(EOMONTH(A676,0),Target_Prices!A$2:A$38,Target_Prices!H$2:H$38)</f>
        <v>1.76227</v>
      </c>
      <c r="E676">
        <f t="shared" si="23"/>
        <v>4.0154517112358512E-3</v>
      </c>
      <c r="F676">
        <f t="shared" si="22"/>
        <v>8.6498812494474275E-2</v>
      </c>
    </row>
    <row r="677" spans="1:6" x14ac:dyDescent="0.35">
      <c r="A677" s="16">
        <v>43220</v>
      </c>
      <c r="B677" t="s">
        <v>10</v>
      </c>
      <c r="C677" s="3">
        <v>1.7533224999999999</v>
      </c>
      <c r="D677" s="8">
        <f>LOOKUP(EOMONTH(A677,0),Target_Prices!A$2:A$38,Target_Prices!H$2:H$38)</f>
        <v>1.76227</v>
      </c>
      <c r="E677">
        <f t="shared" si="23"/>
        <v>8.0982377371142222E-2</v>
      </c>
      <c r="F677">
        <f t="shared" si="22"/>
        <v>5.1031684131128806E-3</v>
      </c>
    </row>
    <row r="678" spans="1:6" x14ac:dyDescent="0.35">
      <c r="A678" s="15">
        <v>43251</v>
      </c>
      <c r="B678" t="s">
        <v>10</v>
      </c>
      <c r="C678" s="4">
        <v>1.6631701000000001</v>
      </c>
      <c r="D678" s="8">
        <f>LOOKUP(EOMONTH(A678,0),Target_Prices!A$2:A$38,Target_Prices!H$2:H$38)</f>
        <v>1.76227</v>
      </c>
      <c r="E678">
        <f t="shared" si="23"/>
        <v>-5.1418036328171102E-2</v>
      </c>
      <c r="F678">
        <f t="shared" si="22"/>
        <v>5.9584945640857721E-2</v>
      </c>
    </row>
    <row r="679" spans="1:6" x14ac:dyDescent="0.35">
      <c r="A679" s="16">
        <v>43280</v>
      </c>
      <c r="B679" t="s">
        <v>10</v>
      </c>
      <c r="C679" s="3">
        <v>1.7826853</v>
      </c>
      <c r="D679" s="8">
        <f>LOOKUP(EOMONTH(A679,0),Target_Prices!A$2:A$38,Target_Prices!H$2:H$38)</f>
        <v>1.76403</v>
      </c>
      <c r="E679">
        <f t="shared" si="23"/>
        <v>7.1859877711846654E-2</v>
      </c>
      <c r="F679">
        <f t="shared" si="22"/>
        <v>-1.0464718590544299E-2</v>
      </c>
    </row>
    <row r="680" spans="1:6" x14ac:dyDescent="0.35">
      <c r="A680" s="15">
        <v>43312</v>
      </c>
      <c r="B680" t="s">
        <v>10</v>
      </c>
      <c r="C680" s="4">
        <v>1.667645</v>
      </c>
      <c r="D680" s="8">
        <f>LOOKUP(EOMONTH(A680,0),Target_Prices!A$2:A$38,Target_Prices!H$2:H$38)</f>
        <v>1.76403</v>
      </c>
      <c r="E680">
        <f t="shared" si="23"/>
        <v>-6.4532029293111859E-2</v>
      </c>
      <c r="F680">
        <f t="shared" si="22"/>
        <v>5.7797073118079655E-2</v>
      </c>
    </row>
    <row r="681" spans="1:6" x14ac:dyDescent="0.35">
      <c r="A681" s="16">
        <v>43343</v>
      </c>
      <c r="B681" t="s">
        <v>10</v>
      </c>
      <c r="C681" s="3">
        <v>1.6008093000000001</v>
      </c>
      <c r="D681" s="8">
        <f>LOOKUP(EOMONTH(A681,0),Target_Prices!A$2:A$38,Target_Prices!H$2:H$38)</f>
        <v>1.76403</v>
      </c>
      <c r="E681">
        <f t="shared" si="23"/>
        <v>-4.00778942760599E-2</v>
      </c>
      <c r="F681">
        <f t="shared" si="22"/>
        <v>0.10196136416748695</v>
      </c>
    </row>
    <row r="682" spans="1:6" x14ac:dyDescent="0.35">
      <c r="A682" s="15">
        <v>43371</v>
      </c>
      <c r="B682" t="s">
        <v>10</v>
      </c>
      <c r="C682" s="4">
        <v>1.7391075</v>
      </c>
      <c r="D682" s="8">
        <f>LOOKUP(EOMONTH(A682,0),Target_Prices!A$2:A$38,Target_Prices!H$2:H$38)</f>
        <v>1.8069299999999999</v>
      </c>
      <c r="E682">
        <f t="shared" si="23"/>
        <v>8.6392676504315702E-2</v>
      </c>
      <c r="F682">
        <f t="shared" si="22"/>
        <v>3.8998451792082951E-2</v>
      </c>
    </row>
    <row r="683" spans="1:6" x14ac:dyDescent="0.35">
      <c r="A683" s="16">
        <v>43404</v>
      </c>
      <c r="B683" t="s">
        <v>10</v>
      </c>
      <c r="C683" s="3">
        <v>1.6599869</v>
      </c>
      <c r="D683" s="8">
        <f>LOOKUP(EOMONTH(A683,0),Target_Prices!A$2:A$38,Target_Prices!H$2:H$38)</f>
        <v>1.8069299999999999</v>
      </c>
      <c r="E683">
        <f t="shared" si="23"/>
        <v>-4.5494944964586725E-2</v>
      </c>
      <c r="F683">
        <f t="shared" si="22"/>
        <v>8.8520638325519249E-2</v>
      </c>
    </row>
    <row r="684" spans="1:6" x14ac:dyDescent="0.35">
      <c r="A684" s="15">
        <v>43434</v>
      </c>
      <c r="B684" t="s">
        <v>10</v>
      </c>
      <c r="C684" s="4">
        <v>1.5522651999999999</v>
      </c>
      <c r="D684" s="8">
        <f>LOOKUP(EOMONTH(A684,0),Target_Prices!A$2:A$38,Target_Prices!H$2:H$38)</f>
        <v>1.8069299999999999</v>
      </c>
      <c r="E684">
        <f t="shared" si="23"/>
        <v>-6.4893102469664177E-2</v>
      </c>
      <c r="F684">
        <f t="shared" si="22"/>
        <v>0.1640601103471237</v>
      </c>
    </row>
    <row r="685" spans="1:6" x14ac:dyDescent="0.35">
      <c r="A685" s="16">
        <v>43465</v>
      </c>
      <c r="B685" t="s">
        <v>10</v>
      </c>
      <c r="C685" s="3">
        <v>1.5029404</v>
      </c>
      <c r="D685" s="8">
        <f>LOOKUP(EOMONTH(A685,0),Target_Prices!A$2:A$38,Target_Prices!H$2:H$38)</f>
        <v>1.7261299999999999</v>
      </c>
      <c r="E685">
        <f t="shared" si="23"/>
        <v>-3.1776013531708336E-2</v>
      </c>
      <c r="F685">
        <f t="shared" si="22"/>
        <v>0.14850196321823539</v>
      </c>
    </row>
    <row r="686" spans="1:6" x14ac:dyDescent="0.35">
      <c r="A686" s="15">
        <v>43496</v>
      </c>
      <c r="B686" t="s">
        <v>10</v>
      </c>
      <c r="C686" s="4">
        <v>1.5637053999999999</v>
      </c>
      <c r="D686" s="8">
        <f>LOOKUP(EOMONTH(A686,0),Target_Prices!A$2:A$38,Target_Prices!H$2:H$38)</f>
        <v>1.7261299999999999</v>
      </c>
      <c r="E686">
        <f t="shared" si="23"/>
        <v>4.043074495834964E-2</v>
      </c>
      <c r="F686">
        <f t="shared" si="22"/>
        <v>0.10387161162198458</v>
      </c>
    </row>
    <row r="687" spans="1:6" x14ac:dyDescent="0.35">
      <c r="A687" s="16">
        <v>43524</v>
      </c>
      <c r="B687" t="s">
        <v>10</v>
      </c>
      <c r="C687" s="3">
        <v>1.4542676000000001</v>
      </c>
      <c r="D687" s="8">
        <f>LOOKUP(EOMONTH(A687,0),Target_Prices!A$2:A$38,Target_Prices!H$2:H$38)</f>
        <v>1.7261299999999999</v>
      </c>
      <c r="E687">
        <f t="shared" si="23"/>
        <v>-6.9986200725532965E-2</v>
      </c>
      <c r="F687">
        <f t="shared" si="22"/>
        <v>0.18694111042561892</v>
      </c>
    </row>
    <row r="688" spans="1:6" x14ac:dyDescent="0.35">
      <c r="A688" s="15">
        <v>43553</v>
      </c>
      <c r="B688" t="s">
        <v>10</v>
      </c>
      <c r="C688" s="4">
        <v>1.3252733000000001</v>
      </c>
      <c r="D688" s="8">
        <f>LOOKUP(EOMONTH(A688,0),Target_Prices!A$2:A$38,Target_Prices!H$2:H$38)</f>
        <v>1.51488</v>
      </c>
      <c r="E688">
        <f t="shared" si="23"/>
        <v>-8.8700525267839336E-2</v>
      </c>
      <c r="F688">
        <f t="shared" si="22"/>
        <v>0.14306988603784584</v>
      </c>
    </row>
    <row r="689" spans="1:6" x14ac:dyDescent="0.35">
      <c r="A689" s="16">
        <v>43585</v>
      </c>
      <c r="B689" t="s">
        <v>10</v>
      </c>
      <c r="C689" s="3">
        <v>1.2359492000000001</v>
      </c>
      <c r="D689" s="8">
        <f>LOOKUP(EOMONTH(A689,0),Target_Prices!A$2:A$38,Target_Prices!H$2:H$38)</f>
        <v>1.51488</v>
      </c>
      <c r="E689">
        <f t="shared" si="23"/>
        <v>-6.7400512784796973E-2</v>
      </c>
      <c r="F689">
        <f t="shared" si="22"/>
        <v>0.2256814438651685</v>
      </c>
    </row>
    <row r="690" spans="1:6" x14ac:dyDescent="0.35">
      <c r="A690" s="15">
        <v>43616</v>
      </c>
      <c r="B690" t="s">
        <v>10</v>
      </c>
      <c r="C690" s="4">
        <v>1.0577700999999999</v>
      </c>
      <c r="D690" s="8">
        <f>LOOKUP(EOMONTH(A690,0),Target_Prices!A$2:A$38,Target_Prices!H$2:H$38)</f>
        <v>1.51488</v>
      </c>
      <c r="E690">
        <f t="shared" si="23"/>
        <v>-0.1441637730741685</v>
      </c>
      <c r="F690">
        <f t="shared" si="22"/>
        <v>0.43214484886649762</v>
      </c>
    </row>
    <row r="691" spans="1:6" x14ac:dyDescent="0.35">
      <c r="A691" s="16">
        <v>43644</v>
      </c>
      <c r="B691" t="s">
        <v>10</v>
      </c>
      <c r="C691" s="3">
        <v>0.98101159999999998</v>
      </c>
      <c r="D691" s="8">
        <f>LOOKUP(EOMONTH(A691,0),Target_Prices!A$2:A$38,Target_Prices!H$2:H$38)</f>
        <v>1.14384</v>
      </c>
      <c r="E691">
        <f t="shared" si="23"/>
        <v>-7.2566335539263171E-2</v>
      </c>
      <c r="F691">
        <f t="shared" si="22"/>
        <v>0.16598009646369113</v>
      </c>
    </row>
    <row r="692" spans="1:6" x14ac:dyDescent="0.35">
      <c r="A692" s="15">
        <v>43677</v>
      </c>
      <c r="B692" t="s">
        <v>10</v>
      </c>
      <c r="C692" s="4">
        <v>0.83668184000000001</v>
      </c>
      <c r="D692" s="8">
        <f>LOOKUP(EOMONTH(A692,0),Target_Prices!A$2:A$38,Target_Prices!H$2:H$38)</f>
        <v>1.14384</v>
      </c>
      <c r="E692">
        <f t="shared" si="23"/>
        <v>-0.14712339792923956</v>
      </c>
      <c r="F692">
        <f t="shared" si="22"/>
        <v>0.36711464898054913</v>
      </c>
    </row>
    <row r="693" spans="1:6" x14ac:dyDescent="0.35">
      <c r="A693" s="16">
        <v>43707</v>
      </c>
      <c r="B693" t="s">
        <v>10</v>
      </c>
      <c r="C693" s="3">
        <v>0.77079814999999996</v>
      </c>
      <c r="D693" s="8">
        <f>LOOKUP(EOMONTH(A693,0),Target_Prices!A$2:A$38,Target_Prices!H$2:H$38)</f>
        <v>1.14384</v>
      </c>
      <c r="E693">
        <f t="shared" si="23"/>
        <v>-7.8744018156292284E-2</v>
      </c>
      <c r="F693">
        <f t="shared" si="22"/>
        <v>0.48396827366542072</v>
      </c>
    </row>
    <row r="694" spans="1:6" x14ac:dyDescent="0.35">
      <c r="A694" s="15">
        <v>43738</v>
      </c>
      <c r="B694" t="s">
        <v>10</v>
      </c>
      <c r="C694" s="4">
        <v>0.83351500000000001</v>
      </c>
      <c r="D694" s="8">
        <f>LOOKUP(EOMONTH(A694,0),Target_Prices!A$2:A$38,Target_Prices!H$2:H$38)</f>
        <v>0.87739699999999998</v>
      </c>
      <c r="E694">
        <f t="shared" si="23"/>
        <v>8.1366113813324592E-2</v>
      </c>
      <c r="F694">
        <f t="shared" si="22"/>
        <v>5.2646922970792341E-2</v>
      </c>
    </row>
    <row r="695" spans="1:6" x14ac:dyDescent="0.35">
      <c r="A695" s="16">
        <v>43769</v>
      </c>
      <c r="B695" t="s">
        <v>10</v>
      </c>
      <c r="C695" s="3">
        <v>0.8415958</v>
      </c>
      <c r="D695" s="8">
        <f>LOOKUP(EOMONTH(A695,0),Target_Prices!A$2:A$38,Target_Prices!H$2:H$38)</f>
        <v>0.87739699999999998</v>
      </c>
      <c r="E695">
        <f t="shared" si="23"/>
        <v>9.6948465234578673E-3</v>
      </c>
      <c r="F695">
        <f t="shared" si="22"/>
        <v>4.253966096313691E-2</v>
      </c>
    </row>
    <row r="696" spans="1:6" x14ac:dyDescent="0.35">
      <c r="A696" s="15">
        <v>43798</v>
      </c>
      <c r="B696" t="s">
        <v>10</v>
      </c>
      <c r="C696" s="4">
        <v>0.94108990000000003</v>
      </c>
      <c r="D696" s="8">
        <f>LOOKUP(EOMONTH(A696,0),Target_Prices!A$2:A$38,Target_Prices!H$2:H$38)</f>
        <v>0.87739699999999998</v>
      </c>
      <c r="E696">
        <f t="shared" si="23"/>
        <v>0.11822076583557095</v>
      </c>
      <c r="F696">
        <f t="shared" si="22"/>
        <v>-6.7679931534702531E-2</v>
      </c>
    </row>
    <row r="697" spans="1:6" x14ac:dyDescent="0.35">
      <c r="A697" s="16">
        <v>43830</v>
      </c>
      <c r="B697" t="s">
        <v>10</v>
      </c>
      <c r="C697" s="3">
        <v>1.0538992</v>
      </c>
      <c r="D697" s="8">
        <f>LOOKUP(EOMONTH(A697,0),Target_Prices!A$2:A$38,Target_Prices!H$2:H$38)</f>
        <v>0.98684400000000005</v>
      </c>
      <c r="E697">
        <f t="shared" si="23"/>
        <v>0.11987090712587611</v>
      </c>
      <c r="F697">
        <f t="shared" si="22"/>
        <v>-6.3625819243434273E-2</v>
      </c>
    </row>
    <row r="698" spans="1:6" x14ac:dyDescent="0.35">
      <c r="A698" s="15">
        <v>43861</v>
      </c>
      <c r="B698" t="s">
        <v>10</v>
      </c>
      <c r="C698" s="4">
        <v>1.0091687</v>
      </c>
      <c r="D698" s="8">
        <f>LOOKUP(EOMONTH(A698,0),Target_Prices!A$2:A$38,Target_Prices!H$2:H$38)</f>
        <v>0.98684400000000005</v>
      </c>
      <c r="E698">
        <f t="shared" si="23"/>
        <v>-4.2442863605931191E-2</v>
      </c>
      <c r="F698">
        <f t="shared" si="22"/>
        <v>-2.2121871199532819E-2</v>
      </c>
    </row>
    <row r="699" spans="1:6" x14ac:dyDescent="0.35">
      <c r="A699" s="16">
        <v>43889</v>
      </c>
      <c r="B699" t="s">
        <v>10</v>
      </c>
      <c r="C699" s="3">
        <v>0.83862599999999998</v>
      </c>
      <c r="D699" s="8">
        <f>LOOKUP(EOMONTH(A699,0),Target_Prices!A$2:A$38,Target_Prices!H$2:H$38)</f>
        <v>0.98684400000000005</v>
      </c>
      <c r="E699">
        <f t="shared" si="23"/>
        <v>-0.16899325157429079</v>
      </c>
      <c r="F699">
        <f t="shared" si="22"/>
        <v>0.1767390946619829</v>
      </c>
    </row>
    <row r="700" spans="1:6" x14ac:dyDescent="0.35">
      <c r="A700" s="15">
        <v>43921</v>
      </c>
      <c r="B700" t="s">
        <v>10</v>
      </c>
      <c r="C700" s="4">
        <v>0.43032399999999998</v>
      </c>
      <c r="D700" s="8">
        <f>LOOKUP(EOMONTH(A700,0),Target_Prices!A$2:A$38,Target_Prices!H$2:H$38)</f>
        <v>0.86138199999999998</v>
      </c>
      <c r="E700">
        <f t="shared" si="23"/>
        <v>-0.48687019004896104</v>
      </c>
      <c r="F700">
        <f t="shared" si="22"/>
        <v>1.0017056915254552</v>
      </c>
    </row>
    <row r="701" spans="1:6" x14ac:dyDescent="0.35">
      <c r="A701" s="16">
        <v>43951</v>
      </c>
      <c r="B701" t="s">
        <v>10</v>
      </c>
      <c r="C701" s="3">
        <v>0.45948929999999999</v>
      </c>
      <c r="D701" s="8">
        <f>LOOKUP(EOMONTH(A701,0),Target_Prices!A$2:A$38,Target_Prices!H$2:H$38)</f>
        <v>0.86138199999999998</v>
      </c>
      <c r="E701">
        <f t="shared" si="23"/>
        <v>6.7775211236184907E-2</v>
      </c>
      <c r="F701">
        <f t="shared" si="22"/>
        <v>0.8746508351772283</v>
      </c>
    </row>
    <row r="702" spans="1:6" x14ac:dyDescent="0.35">
      <c r="A702" s="15">
        <v>43980</v>
      </c>
      <c r="B702" t="s">
        <v>10</v>
      </c>
      <c r="C702" s="4">
        <v>0.40589449999999999</v>
      </c>
      <c r="D702" s="8">
        <f>LOOKUP(EOMONTH(A702,0),Target_Prices!A$2:A$38,Target_Prices!H$2:H$38)</f>
        <v>0.86138199999999998</v>
      </c>
      <c r="E702">
        <f t="shared" si="23"/>
        <v>-0.11663993046192811</v>
      </c>
      <c r="F702">
        <f t="shared" si="22"/>
        <v>1.1221819955678138</v>
      </c>
    </row>
    <row r="703" spans="1:6" x14ac:dyDescent="0.35">
      <c r="A703" s="16">
        <v>44012</v>
      </c>
      <c r="B703" t="s">
        <v>10</v>
      </c>
      <c r="C703" s="3">
        <v>0.42398632000000003</v>
      </c>
      <c r="D703" s="8">
        <f>LOOKUP(EOMONTH(A703,0),Target_Prices!A$2:A$38,Target_Prices!H$2:H$38)</f>
        <v>0.53970600000000002</v>
      </c>
      <c r="E703">
        <f t="shared" si="23"/>
        <v>4.4572715323809575E-2</v>
      </c>
      <c r="F703">
        <f t="shared" si="22"/>
        <v>0.27293257952284872</v>
      </c>
    </row>
    <row r="704" spans="1:6" x14ac:dyDescent="0.35">
      <c r="A704" s="15">
        <v>44043</v>
      </c>
      <c r="B704" t="s">
        <v>10</v>
      </c>
      <c r="C704" s="4">
        <v>0.54131602999999995</v>
      </c>
      <c r="D704" s="8">
        <f>LOOKUP(EOMONTH(A704,0),Target_Prices!A$2:A$38,Target_Prices!H$2:H$38)</f>
        <v>0.53970600000000002</v>
      </c>
      <c r="E704">
        <f t="shared" si="23"/>
        <v>0.27672994260758199</v>
      </c>
      <c r="F704">
        <f t="shared" si="22"/>
        <v>-2.9742884207584414E-3</v>
      </c>
    </row>
    <row r="705" spans="1:6" x14ac:dyDescent="0.35">
      <c r="A705" s="16">
        <v>44074</v>
      </c>
      <c r="B705" t="s">
        <v>10</v>
      </c>
      <c r="C705" s="3">
        <v>0.51585080000000005</v>
      </c>
      <c r="D705" s="8">
        <f>LOOKUP(EOMONTH(A705,0),Target_Prices!A$2:A$38,Target_Prices!H$2:H$38)</f>
        <v>0.53970600000000002</v>
      </c>
      <c r="E705">
        <f t="shared" si="23"/>
        <v>-4.7043184736280441E-2</v>
      </c>
      <c r="F705">
        <f t="shared" si="22"/>
        <v>4.6244379188711084E-2</v>
      </c>
    </row>
    <row r="706" spans="1:6" x14ac:dyDescent="0.35">
      <c r="A706" s="15">
        <v>44104</v>
      </c>
      <c r="B706" t="s">
        <v>10</v>
      </c>
      <c r="C706" s="4">
        <v>0.44197634000000002</v>
      </c>
      <c r="D706" s="8">
        <f>LOOKUP(EOMONTH(A706,0),Target_Prices!A$2:A$38,Target_Prices!H$2:H$38)</f>
        <v>0.59803499999999998</v>
      </c>
      <c r="E706">
        <f t="shared" si="23"/>
        <v>-0.14320896662368265</v>
      </c>
      <c r="F706">
        <f t="shared" si="22"/>
        <v>0.35309279225218243</v>
      </c>
    </row>
    <row r="707" spans="1:6" x14ac:dyDescent="0.35">
      <c r="A707" s="16">
        <v>44134</v>
      </c>
      <c r="B707" t="s">
        <v>10</v>
      </c>
      <c r="C707" s="3">
        <v>0.41270328000000001</v>
      </c>
      <c r="D707" s="8">
        <f>LOOKUP(EOMONTH(A707,0),Target_Prices!A$2:A$38,Target_Prices!H$2:H$38)</f>
        <v>0.59803499999999998</v>
      </c>
      <c r="E707">
        <f t="shared" si="23"/>
        <v>-6.6232187903995099E-2</v>
      </c>
      <c r="F707">
        <f t="shared" ref="F707:F770" si="24">(D707-C707)/C707</f>
        <v>0.44906771761057962</v>
      </c>
    </row>
    <row r="708" spans="1:6" x14ac:dyDescent="0.35">
      <c r="A708" s="15">
        <v>44165</v>
      </c>
      <c r="B708" t="s">
        <v>10</v>
      </c>
      <c r="C708" s="4">
        <v>0.49241266</v>
      </c>
      <c r="D708" s="8">
        <f>LOOKUP(EOMONTH(A708,0),Target_Prices!A$2:A$38,Target_Prices!H$2:H$38)</f>
        <v>0.59803499999999998</v>
      </c>
      <c r="E708">
        <f t="shared" si="23"/>
        <v>0.19313968137108084</v>
      </c>
      <c r="F708">
        <f t="shared" si="24"/>
        <v>0.2144996434494596</v>
      </c>
    </row>
    <row r="709" spans="1:6" x14ac:dyDescent="0.35">
      <c r="A709" s="16">
        <v>44196</v>
      </c>
      <c r="B709" t="s">
        <v>10</v>
      </c>
      <c r="C709" s="3">
        <v>0.52061519999999994</v>
      </c>
      <c r="D709" s="8">
        <f>LOOKUP(EOMONTH(A709,0),Target_Prices!A$2:A$38,Target_Prices!H$2:H$38)</f>
        <v>0.60650000000000004</v>
      </c>
      <c r="E709">
        <f t="shared" si="23"/>
        <v>5.7274197621157708E-2</v>
      </c>
      <c r="F709">
        <f t="shared" si="24"/>
        <v>0.16496790719902166</v>
      </c>
    </row>
    <row r="710" spans="1:6" x14ac:dyDescent="0.35">
      <c r="A710" s="15">
        <v>44225</v>
      </c>
      <c r="B710" t="s">
        <v>10</v>
      </c>
      <c r="C710" s="4">
        <v>0.58526869999999998</v>
      </c>
      <c r="D710" s="8">
        <f>LOOKUP(EOMONTH(A710,0),Target_Prices!A$2:A$38,Target_Prices!H$2:H$38)</f>
        <v>0.60650000000000004</v>
      </c>
      <c r="E710">
        <f t="shared" si="23"/>
        <v>0.12418673139009395</v>
      </c>
      <c r="F710">
        <f t="shared" si="24"/>
        <v>3.6276158284220678E-2</v>
      </c>
    </row>
    <row r="711" spans="1:6" x14ac:dyDescent="0.35">
      <c r="A711" s="16">
        <v>44253</v>
      </c>
      <c r="B711" t="s">
        <v>10</v>
      </c>
      <c r="C711" s="3">
        <v>0.60770930000000001</v>
      </c>
      <c r="D711" s="8">
        <f>LOOKUP(EOMONTH(A711,0),Target_Prices!A$2:A$38,Target_Prices!H$2:H$38)</f>
        <v>0.60650000000000004</v>
      </c>
      <c r="E711">
        <f t="shared" si="23"/>
        <v>3.8342388718207498E-2</v>
      </c>
      <c r="F711">
        <f t="shared" si="24"/>
        <v>-1.9899316992515481E-3</v>
      </c>
    </row>
    <row r="712" spans="1:6" x14ac:dyDescent="0.35">
      <c r="A712" s="15">
        <v>44286</v>
      </c>
      <c r="B712" t="s">
        <v>10</v>
      </c>
      <c r="C712" s="4">
        <v>0.63555660000000003</v>
      </c>
      <c r="D712" s="8">
        <f>LOOKUP(EOMONTH(A712,0),Target_Prices!A$2:A$38,Target_Prices!H$2:H$38)</f>
        <v>0.74230399999999996</v>
      </c>
      <c r="E712">
        <f t="shared" si="23"/>
        <v>4.5823389571296724E-2</v>
      </c>
      <c r="F712">
        <f t="shared" si="24"/>
        <v>0.16795891978778904</v>
      </c>
    </row>
    <row r="713" spans="1:6" x14ac:dyDescent="0.35">
      <c r="A713" s="16">
        <v>44316</v>
      </c>
      <c r="B713" t="s">
        <v>10</v>
      </c>
      <c r="C713" s="3">
        <v>0.6516748</v>
      </c>
      <c r="D713" s="8">
        <f>LOOKUP(EOMONTH(A713,0),Target_Prices!A$2:A$38,Target_Prices!H$2:H$38)</f>
        <v>0.74230399999999996</v>
      </c>
      <c r="E713">
        <f t="shared" si="23"/>
        <v>2.5360762519026636E-2</v>
      </c>
      <c r="F713">
        <f t="shared" si="24"/>
        <v>0.13907120545400861</v>
      </c>
    </row>
    <row r="714" spans="1:6" x14ac:dyDescent="0.35">
      <c r="A714" s="15">
        <v>44347</v>
      </c>
      <c r="B714" t="s">
        <v>10</v>
      </c>
      <c r="C714" s="4">
        <v>0.636208</v>
      </c>
      <c r="D714" s="8">
        <f>LOOKUP(EOMONTH(A714,0),Target_Prices!A$2:A$38,Target_Prices!H$2:H$38)</f>
        <v>0.74230399999999996</v>
      </c>
      <c r="E714">
        <f t="shared" si="23"/>
        <v>-2.3733923730056783E-2</v>
      </c>
      <c r="F714">
        <f t="shared" si="24"/>
        <v>0.16676307119684122</v>
      </c>
    </row>
    <row r="715" spans="1:6" x14ac:dyDescent="0.35">
      <c r="A715" s="16">
        <v>44377</v>
      </c>
      <c r="B715" t="s">
        <v>10</v>
      </c>
      <c r="C715" s="3">
        <v>0.59945539999999997</v>
      </c>
      <c r="D715" s="8">
        <f>LOOKUP(EOMONTH(A715,0),Target_Prices!A$2:A$38,Target_Prices!H$2:H$38)</f>
        <v>0.76184200000000002</v>
      </c>
      <c r="E715">
        <f t="shared" si="23"/>
        <v>-5.776821416895106E-2</v>
      </c>
      <c r="F715">
        <f t="shared" si="24"/>
        <v>0.27089021134850078</v>
      </c>
    </row>
    <row r="716" spans="1:6" x14ac:dyDescent="0.35">
      <c r="A716" s="15">
        <v>44407</v>
      </c>
      <c r="B716" t="s">
        <v>10</v>
      </c>
      <c r="C716" s="4">
        <v>0.53313553000000002</v>
      </c>
      <c r="D716" s="8">
        <f>LOOKUP(EOMONTH(A716,0),Target_Prices!A$2:A$38,Target_Prices!H$2:H$38)</f>
        <v>0.76184200000000002</v>
      </c>
      <c r="E716">
        <f t="shared" si="23"/>
        <v>-0.1106335350386366</v>
      </c>
      <c r="F716">
        <f t="shared" si="24"/>
        <v>0.42898373327322603</v>
      </c>
    </row>
    <row r="717" spans="1:6" x14ac:dyDescent="0.35">
      <c r="A717" s="16">
        <v>44439</v>
      </c>
      <c r="B717" t="s">
        <v>10</v>
      </c>
      <c r="C717" s="3">
        <v>0.60578549999999998</v>
      </c>
      <c r="D717" s="8">
        <f>LOOKUP(EOMONTH(A717,0),Target_Prices!A$2:A$38,Target_Prices!H$2:H$38)</f>
        <v>0.76184200000000002</v>
      </c>
      <c r="E717">
        <f t="shared" si="23"/>
        <v>0.13626923345363973</v>
      </c>
      <c r="F717">
        <f t="shared" si="24"/>
        <v>0.25761016069219228</v>
      </c>
    </row>
    <row r="718" spans="1:6" x14ac:dyDescent="0.35">
      <c r="A718" s="15">
        <v>44469</v>
      </c>
      <c r="B718" t="s">
        <v>10</v>
      </c>
      <c r="C718" s="4">
        <v>0.65942860000000003</v>
      </c>
      <c r="D718" s="8">
        <f>LOOKUP(EOMONTH(A718,0),Target_Prices!A$2:A$38,Target_Prices!H$2:H$38)</f>
        <v>0.76252699999999995</v>
      </c>
      <c r="E718">
        <f t="shared" si="23"/>
        <v>8.8551310653688597E-2</v>
      </c>
      <c r="F718">
        <f t="shared" si="24"/>
        <v>0.1563450538845296</v>
      </c>
    </row>
    <row r="719" spans="1:6" x14ac:dyDescent="0.35">
      <c r="A719" s="16">
        <v>44498</v>
      </c>
      <c r="B719" t="s">
        <v>10</v>
      </c>
      <c r="C719" s="3">
        <v>0.7144838</v>
      </c>
      <c r="D719" s="8">
        <f>LOOKUP(EOMONTH(A719,0),Target_Prices!A$2:A$38,Target_Prices!H$2:H$38)</f>
        <v>0.76252699999999995</v>
      </c>
      <c r="E719">
        <f t="shared" si="23"/>
        <v>8.3489251148646026E-2</v>
      </c>
      <c r="F719">
        <f t="shared" si="24"/>
        <v>6.7241832495012421E-2</v>
      </c>
    </row>
    <row r="720" spans="1:6" x14ac:dyDescent="0.35">
      <c r="A720" s="15">
        <v>44530</v>
      </c>
      <c r="B720" t="s">
        <v>10</v>
      </c>
      <c r="C720" s="4">
        <v>0.76140669999999999</v>
      </c>
      <c r="D720" s="8">
        <f>LOOKUP(EOMONTH(A720,0),Target_Prices!A$2:A$38,Target_Prices!H$2:H$38)</f>
        <v>0.76252699999999995</v>
      </c>
      <c r="E720">
        <f t="shared" si="23"/>
        <v>6.5673847328658885E-2</v>
      </c>
      <c r="F720">
        <f t="shared" si="24"/>
        <v>1.4713555843414079E-3</v>
      </c>
    </row>
    <row r="721" spans="1:6" x14ac:dyDescent="0.35">
      <c r="A721" s="16">
        <v>44561</v>
      </c>
      <c r="B721" t="s">
        <v>10</v>
      </c>
      <c r="C721" s="3">
        <v>0.85159320000000005</v>
      </c>
      <c r="D721" s="8">
        <f>LOOKUP(EOMONTH(A721,0),Target_Prices!A$2:A$38,Target_Prices!H$2:H$38)</f>
        <v>1.0121500000000001</v>
      </c>
      <c r="E721">
        <f t="shared" si="23"/>
        <v>0.11844721093208155</v>
      </c>
      <c r="F721">
        <f t="shared" si="24"/>
        <v>0.18853696812045945</v>
      </c>
    </row>
    <row r="722" spans="1:6" x14ac:dyDescent="0.35">
      <c r="A722" s="15">
        <v>44592</v>
      </c>
      <c r="B722" t="s">
        <v>10</v>
      </c>
      <c r="C722" s="4">
        <v>0.86554973999999996</v>
      </c>
      <c r="D722" s="8">
        <f>LOOKUP(EOMONTH(A722,0),Target_Prices!A$2:A$38,Target_Prices!H$2:H$38)</f>
        <v>1.0121500000000001</v>
      </c>
      <c r="E722">
        <f t="shared" si="23"/>
        <v>1.6388740539496904E-2</v>
      </c>
      <c r="F722">
        <f t="shared" si="24"/>
        <v>0.16937242682321199</v>
      </c>
    </row>
    <row r="723" spans="1:6" x14ac:dyDescent="0.35">
      <c r="A723" s="16">
        <v>44620</v>
      </c>
      <c r="B723" t="s">
        <v>10</v>
      </c>
      <c r="C723" s="3">
        <v>0.92316984999999996</v>
      </c>
      <c r="D723" s="8">
        <f>LOOKUP(EOMONTH(A723,0),Target_Prices!A$2:A$38,Target_Prices!H$2:H$38)</f>
        <v>1.0121500000000001</v>
      </c>
      <c r="E723">
        <f t="shared" si="23"/>
        <v>6.6570535853895496E-2</v>
      </c>
      <c r="F723">
        <f t="shared" si="24"/>
        <v>9.6385459295491666E-2</v>
      </c>
    </row>
    <row r="724" spans="1:6" x14ac:dyDescent="0.35">
      <c r="A724" s="15">
        <v>44651</v>
      </c>
      <c r="B724" t="s">
        <v>10</v>
      </c>
      <c r="C724" s="4">
        <v>0.94762354999999998</v>
      </c>
      <c r="D724" s="8">
        <f>LOOKUP(EOMONTH(A724,0),Target_Prices!A$2:A$38,Target_Prices!H$2:H$38)</f>
        <v>1.0686500000000001</v>
      </c>
      <c r="E724">
        <f t="shared" si="23"/>
        <v>2.6488841679567443E-2</v>
      </c>
      <c r="F724">
        <f t="shared" si="24"/>
        <v>0.12771574746110956</v>
      </c>
    </row>
    <row r="725" spans="1:6" x14ac:dyDescent="0.35">
      <c r="A725" s="16">
        <v>44680</v>
      </c>
      <c r="B725" t="s">
        <v>10</v>
      </c>
      <c r="C725" s="3">
        <v>0.94565650000000001</v>
      </c>
      <c r="D725" s="8">
        <f>LOOKUP(EOMONTH(A725,0),Target_Prices!A$2:A$38,Target_Prices!H$2:H$38)</f>
        <v>1.0686500000000001</v>
      </c>
      <c r="E725">
        <f t="shared" si="23"/>
        <v>-2.0757715445125502E-3</v>
      </c>
      <c r="F725">
        <f t="shared" si="24"/>
        <v>0.13006149696004848</v>
      </c>
    </row>
    <row r="726" spans="1:6" x14ac:dyDescent="0.35">
      <c r="A726" s="15">
        <v>44712</v>
      </c>
      <c r="B726" t="s">
        <v>10</v>
      </c>
      <c r="C726" s="4">
        <v>0.93153379999999997</v>
      </c>
      <c r="D726" s="8">
        <f>LOOKUP(EOMONTH(A726,0),Target_Prices!A$2:A$38,Target_Prices!H$2:H$38)</f>
        <v>1.0686500000000001</v>
      </c>
      <c r="E726">
        <f t="shared" si="23"/>
        <v>-1.4934281105242753E-2</v>
      </c>
      <c r="F726">
        <f t="shared" si="24"/>
        <v>0.14719401486022315</v>
      </c>
    </row>
    <row r="727" spans="1:6" x14ac:dyDescent="0.35">
      <c r="A727" s="16">
        <v>44742</v>
      </c>
      <c r="B727" t="s">
        <v>10</v>
      </c>
      <c r="C727" s="3">
        <v>0.92932236000000001</v>
      </c>
      <c r="D727" s="8">
        <f>LOOKUP(EOMONTH(A727,0),Target_Prices!A$2:A$38,Target_Prices!H$2:H$38)</f>
        <v>1.2391000000000001</v>
      </c>
      <c r="E727">
        <f t="shared" si="23"/>
        <v>-2.3739771976066804E-3</v>
      </c>
      <c r="F727">
        <f t="shared" si="24"/>
        <v>0.33333712103946372</v>
      </c>
    </row>
    <row r="728" spans="1:6" x14ac:dyDescent="0.35">
      <c r="A728" s="15">
        <v>44771</v>
      </c>
      <c r="B728" t="s">
        <v>10</v>
      </c>
      <c r="C728" s="4">
        <v>1.0466545</v>
      </c>
      <c r="D728" s="8">
        <f>LOOKUP(EOMONTH(A728,0),Target_Prices!A$2:A$38,Target_Prices!H$2:H$38)</f>
        <v>1.2391000000000001</v>
      </c>
      <c r="E728">
        <f t="shared" ref="E728:E771" si="25">(C728/C727)-1</f>
        <v>0.12625558692034478</v>
      </c>
      <c r="F728">
        <f t="shared" si="24"/>
        <v>0.18386726469909606</v>
      </c>
    </row>
    <row r="729" spans="1:6" x14ac:dyDescent="0.35">
      <c r="A729" s="16">
        <v>44804</v>
      </c>
      <c r="B729" t="s">
        <v>10</v>
      </c>
      <c r="C729" s="3">
        <v>0.87644624999999998</v>
      </c>
      <c r="D729" s="8">
        <f>LOOKUP(EOMONTH(A729,0),Target_Prices!A$2:A$38,Target_Prices!H$2:H$38)</f>
        <v>1.2391000000000001</v>
      </c>
      <c r="E729">
        <f t="shared" si="25"/>
        <v>-0.16262123747616819</v>
      </c>
      <c r="F729">
        <f t="shared" si="24"/>
        <v>0.41377751345276464</v>
      </c>
    </row>
    <row r="730" spans="1:6" x14ac:dyDescent="0.35">
      <c r="A730" s="15">
        <v>44834</v>
      </c>
      <c r="B730" t="s">
        <v>10</v>
      </c>
      <c r="C730" s="4">
        <v>0.80721370000000003</v>
      </c>
      <c r="D730" s="8">
        <f>LOOKUP(EOMONTH(A730,0),Target_Prices!A$2:A$38,Target_Prices!H$2:H$38)</f>
        <v>1.3849199999999999</v>
      </c>
      <c r="E730">
        <f t="shared" si="25"/>
        <v>-7.8992351213779455E-2</v>
      </c>
      <c r="F730">
        <f t="shared" si="24"/>
        <v>0.71567950345738662</v>
      </c>
    </row>
    <row r="731" spans="1:6" x14ac:dyDescent="0.35">
      <c r="A731" s="16">
        <v>44865</v>
      </c>
      <c r="B731" t="s">
        <v>10</v>
      </c>
      <c r="C731" s="3">
        <v>0.89256270000000004</v>
      </c>
      <c r="D731" s="8">
        <f>LOOKUP(EOMONTH(A731,0),Target_Prices!A$2:A$38,Target_Prices!H$2:H$38)</f>
        <v>1.3849199999999999</v>
      </c>
      <c r="E731">
        <f t="shared" si="25"/>
        <v>0.10573284373146796</v>
      </c>
      <c r="F731">
        <f t="shared" si="24"/>
        <v>0.55162208772560162</v>
      </c>
    </row>
    <row r="732" spans="1:6" x14ac:dyDescent="0.35">
      <c r="A732" s="15">
        <v>44895</v>
      </c>
      <c r="B732" t="s">
        <v>10</v>
      </c>
      <c r="C732" s="4">
        <v>1.0994704</v>
      </c>
      <c r="D732" s="8">
        <f>LOOKUP(EOMONTH(A732,0),Target_Prices!A$2:A$38,Target_Prices!H$2:H$38)</f>
        <v>1.3849199999999999</v>
      </c>
      <c r="E732">
        <f t="shared" si="25"/>
        <v>0.23181307038709997</v>
      </c>
      <c r="F732">
        <f t="shared" si="24"/>
        <v>0.25962463382370277</v>
      </c>
    </row>
    <row r="733" spans="1:6" x14ac:dyDescent="0.35">
      <c r="A733" s="16">
        <v>44925</v>
      </c>
      <c r="B733" t="s">
        <v>10</v>
      </c>
      <c r="C733" s="3">
        <v>1.0878791999999999</v>
      </c>
      <c r="D733" s="8">
        <f>LOOKUP(EOMONTH(A733,0),Target_Prices!A$2:A$38,Target_Prices!H$2:H$38)</f>
        <v>1.4718100000000001</v>
      </c>
      <c r="E733">
        <f t="shared" si="25"/>
        <v>-1.0542530294585517E-2</v>
      </c>
      <c r="F733">
        <f t="shared" si="24"/>
        <v>0.35291675766941782</v>
      </c>
    </row>
    <row r="734" spans="1:6" x14ac:dyDescent="0.35">
      <c r="A734" s="15">
        <v>44957</v>
      </c>
      <c r="B734" t="s">
        <v>10</v>
      </c>
      <c r="C734" s="4">
        <v>1.1420591</v>
      </c>
      <c r="D734" s="8">
        <f>LOOKUP(EOMONTH(A734,0),Target_Prices!A$2:A$38,Target_Prices!H$2:H$38)</f>
        <v>1.4718100000000001</v>
      </c>
      <c r="E734">
        <f t="shared" si="25"/>
        <v>4.9803231829416372E-2</v>
      </c>
      <c r="F734">
        <f t="shared" si="24"/>
        <v>0.28873365660323541</v>
      </c>
    </row>
    <row r="735" spans="1:6" x14ac:dyDescent="0.35">
      <c r="A735" s="16">
        <v>44985</v>
      </c>
      <c r="B735" t="s">
        <v>10</v>
      </c>
      <c r="C735" s="3">
        <v>1.2003756999999999</v>
      </c>
      <c r="D735" s="8">
        <f>LOOKUP(EOMONTH(A735,0),Target_Prices!A$2:A$38,Target_Prices!H$2:H$38)</f>
        <v>1.4718100000000001</v>
      </c>
      <c r="E735">
        <f t="shared" si="25"/>
        <v>5.1062681432160417E-2</v>
      </c>
      <c r="F735">
        <f t="shared" si="24"/>
        <v>0.22612445420213034</v>
      </c>
    </row>
    <row r="736" spans="1:6" x14ac:dyDescent="0.35">
      <c r="A736" s="15">
        <v>45016</v>
      </c>
      <c r="B736" t="s">
        <v>10</v>
      </c>
      <c r="C736" s="4">
        <v>1.2069173</v>
      </c>
      <c r="D736" s="8">
        <f>LOOKUP(EOMONTH(A736,0),Target_Prices!A$2:A$38,Target_Prices!H$2:H$38)</f>
        <v>1.56728</v>
      </c>
      <c r="E736">
        <f t="shared" si="25"/>
        <v>5.4496271459010259E-3</v>
      </c>
      <c r="F736">
        <f t="shared" si="24"/>
        <v>0.29858110410713312</v>
      </c>
    </row>
    <row r="737" spans="1:6" x14ac:dyDescent="0.35">
      <c r="A737" s="16">
        <v>45044</v>
      </c>
      <c r="B737" t="s">
        <v>10</v>
      </c>
      <c r="C737" s="3">
        <v>1.3035783999999999</v>
      </c>
      <c r="D737" s="8">
        <f>LOOKUP(EOMONTH(A737,0),Target_Prices!A$2:A$38,Target_Prices!H$2:H$38)</f>
        <v>1.56728</v>
      </c>
      <c r="E737">
        <f t="shared" si="25"/>
        <v>8.0089248865684359E-2</v>
      </c>
      <c r="F737">
        <f t="shared" si="24"/>
        <v>0.20229055651735262</v>
      </c>
    </row>
    <row r="738" spans="1:6" x14ac:dyDescent="0.35">
      <c r="A738" s="15">
        <v>45077</v>
      </c>
      <c r="B738" t="s">
        <v>10</v>
      </c>
      <c r="C738" s="4">
        <v>1.3677459999999999</v>
      </c>
      <c r="D738" s="8">
        <f>LOOKUP(EOMONTH(A738,0),Target_Prices!A$2:A$38,Target_Prices!H$2:H$38)</f>
        <v>1.56728</v>
      </c>
      <c r="E738">
        <f t="shared" si="25"/>
        <v>4.9224197025664163E-2</v>
      </c>
      <c r="F738">
        <f t="shared" si="24"/>
        <v>0.14588527402017634</v>
      </c>
    </row>
    <row r="739" spans="1:6" x14ac:dyDescent="0.35">
      <c r="A739" s="16">
        <v>45107</v>
      </c>
      <c r="B739" t="s">
        <v>10</v>
      </c>
      <c r="C739" s="3">
        <v>1.4443982</v>
      </c>
      <c r="D739" s="8">
        <f>LOOKUP(EOMONTH(A739,0),Target_Prices!A$2:A$38,Target_Prices!H$2:H$38)</f>
        <v>1.7174799999999999</v>
      </c>
      <c r="E739">
        <f t="shared" si="25"/>
        <v>5.6042715533439758E-2</v>
      </c>
      <c r="F739">
        <f t="shared" si="24"/>
        <v>0.18906268368376528</v>
      </c>
    </row>
    <row r="740" spans="1:6" x14ac:dyDescent="0.35">
      <c r="A740" s="15">
        <v>45138</v>
      </c>
      <c r="B740" t="s">
        <v>10</v>
      </c>
      <c r="C740" s="4">
        <v>1.6110111</v>
      </c>
      <c r="D740" s="8">
        <f>LOOKUP(EOMONTH(A740,0),Target_Prices!A$2:A$38,Target_Prices!H$2:H$38)</f>
        <v>1.7174799999999999</v>
      </c>
      <c r="E740">
        <f t="shared" si="25"/>
        <v>0.11535108531705451</v>
      </c>
      <c r="F740">
        <f t="shared" si="24"/>
        <v>6.6088247312510673E-2</v>
      </c>
    </row>
    <row r="741" spans="1:6" x14ac:dyDescent="0.35">
      <c r="A741" s="16">
        <v>45169</v>
      </c>
      <c r="B741" t="s">
        <v>10</v>
      </c>
      <c r="C741" s="3">
        <v>1.7716867000000001</v>
      </c>
      <c r="D741" s="8">
        <f>LOOKUP(EOMONTH(A741,0),Target_Prices!A$2:A$38,Target_Prices!H$2:H$38)</f>
        <v>1.7174799999999999</v>
      </c>
      <c r="E741">
        <f t="shared" si="25"/>
        <v>9.9735873948975318E-2</v>
      </c>
      <c r="F741">
        <f t="shared" si="24"/>
        <v>-3.0596098057292048E-2</v>
      </c>
    </row>
    <row r="742" spans="1:6" x14ac:dyDescent="0.35">
      <c r="A742" s="15">
        <v>45198</v>
      </c>
      <c r="B742" t="s">
        <v>10</v>
      </c>
      <c r="C742" s="4">
        <v>1.7805331</v>
      </c>
      <c r="D742" s="8">
        <f>LOOKUP(EOMONTH(A742,0),Target_Prices!A$2:A$38,Target_Prices!H$2:H$38)</f>
        <v>2.01003</v>
      </c>
      <c r="E742">
        <f t="shared" si="25"/>
        <v>4.9932078848928807E-3</v>
      </c>
      <c r="F742">
        <f t="shared" si="24"/>
        <v>0.12889224019480458</v>
      </c>
    </row>
    <row r="743" spans="1:6" x14ac:dyDescent="0.35">
      <c r="A743" s="16">
        <v>45230</v>
      </c>
      <c r="B743" t="s">
        <v>10</v>
      </c>
      <c r="C743" s="3">
        <v>1.8058247999999999</v>
      </c>
      <c r="D743" s="8">
        <f>LOOKUP(EOMONTH(A743,0),Target_Prices!A$2:A$38,Target_Prices!H$2:H$38)</f>
        <v>2.01003</v>
      </c>
      <c r="E743">
        <f t="shared" si="25"/>
        <v>1.4204566036991828E-2</v>
      </c>
      <c r="F743">
        <f t="shared" si="24"/>
        <v>0.11308140191673084</v>
      </c>
    </row>
    <row r="744" spans="1:6" x14ac:dyDescent="0.35">
      <c r="A744" s="15">
        <v>45260</v>
      </c>
      <c r="B744" t="s">
        <v>10</v>
      </c>
      <c r="C744" s="4">
        <v>1.7293543</v>
      </c>
      <c r="D744" s="8">
        <f>LOOKUP(EOMONTH(A744,0),Target_Prices!A$2:A$38,Target_Prices!H$2:H$38)</f>
        <v>2.01003</v>
      </c>
      <c r="E744">
        <f t="shared" si="25"/>
        <v>-4.2346577586042655E-2</v>
      </c>
      <c r="F744">
        <f t="shared" si="24"/>
        <v>0.16230086570461585</v>
      </c>
    </row>
    <row r="745" spans="1:6" x14ac:dyDescent="0.35">
      <c r="A745" s="16">
        <v>45289</v>
      </c>
      <c r="B745" t="s">
        <v>10</v>
      </c>
      <c r="C745" s="3">
        <v>1.6231443000000001</v>
      </c>
      <c r="D745" s="8">
        <f>LOOKUP(EOMONTH(A745,0),Target_Prices!A$2:A$38,Target_Prices!H$2:H$38)</f>
        <v>2.0451100000000002</v>
      </c>
      <c r="E745">
        <f t="shared" si="25"/>
        <v>-6.141598630193934E-2</v>
      </c>
      <c r="F745">
        <f t="shared" si="24"/>
        <v>0.25996807554325274</v>
      </c>
    </row>
    <row r="746" spans="1:6" x14ac:dyDescent="0.35">
      <c r="A746" s="15">
        <v>45322</v>
      </c>
      <c r="B746" t="s">
        <v>10</v>
      </c>
      <c r="C746" s="4">
        <v>1.6230992</v>
      </c>
      <c r="D746" s="8">
        <f>LOOKUP(EOMONTH(A746,0),Target_Prices!A$2:A$38,Target_Prices!H$2:H$38)</f>
        <v>2.0451100000000002</v>
      </c>
      <c r="E746">
        <f t="shared" si="25"/>
        <v>-2.7785576427241665E-5</v>
      </c>
      <c r="F746">
        <f t="shared" si="24"/>
        <v>0.26000308545528222</v>
      </c>
    </row>
    <row r="747" spans="1:6" x14ac:dyDescent="0.35">
      <c r="A747" s="16">
        <v>45351</v>
      </c>
      <c r="B747" t="s">
        <v>10</v>
      </c>
      <c r="C747" s="3">
        <v>1.4710896</v>
      </c>
      <c r="D747" s="8">
        <f>LOOKUP(EOMONTH(A747,0),Target_Prices!A$2:A$38,Target_Prices!H$2:H$38)</f>
        <v>2.0451100000000002</v>
      </c>
      <c r="E747">
        <f t="shared" si="25"/>
        <v>-9.3653918380342982E-2</v>
      </c>
      <c r="F747">
        <f t="shared" si="24"/>
        <v>0.39020084160747259</v>
      </c>
    </row>
    <row r="748" spans="1:6" x14ac:dyDescent="0.35">
      <c r="A748" s="15">
        <v>45380</v>
      </c>
      <c r="B748" t="s">
        <v>10</v>
      </c>
      <c r="C748" s="4">
        <v>1.4930912999999999</v>
      </c>
      <c r="D748" s="8">
        <f>LOOKUP(EOMONTH(A748,0),Target_Prices!A$2:A$38,Target_Prices!H$2:H$38)</f>
        <v>2.0150299999999999</v>
      </c>
      <c r="E748">
        <f t="shared" si="25"/>
        <v>1.4956057061378036E-2</v>
      </c>
      <c r="F748">
        <f t="shared" si="24"/>
        <v>0.34956917905823981</v>
      </c>
    </row>
    <row r="749" spans="1:6" x14ac:dyDescent="0.35">
      <c r="A749" s="16">
        <v>45412</v>
      </c>
      <c r="B749" t="s">
        <v>10</v>
      </c>
      <c r="C749" s="3">
        <v>1.4983641999999999</v>
      </c>
      <c r="D749" s="8">
        <f>LOOKUP(EOMONTH(A749,0),Target_Prices!A$2:A$38,Target_Prices!H$2:H$38)</f>
        <v>2.0150299999999999</v>
      </c>
      <c r="E749">
        <f t="shared" si="25"/>
        <v>3.5315321976627789E-3</v>
      </c>
      <c r="F749">
        <f t="shared" si="24"/>
        <v>0.3448199042662658</v>
      </c>
    </row>
    <row r="750" spans="1:6" x14ac:dyDescent="0.35">
      <c r="A750" s="15">
        <v>45443</v>
      </c>
      <c r="B750" t="s">
        <v>10</v>
      </c>
      <c r="C750" s="4">
        <v>1.6601092</v>
      </c>
      <c r="D750" s="8">
        <f>LOOKUP(EOMONTH(A750,0),Target_Prices!A$2:A$38,Target_Prices!H$2:H$38)</f>
        <v>2.0150299999999999</v>
      </c>
      <c r="E750">
        <f t="shared" si="25"/>
        <v>0.10794772058755808</v>
      </c>
      <c r="F750">
        <f t="shared" si="24"/>
        <v>0.2137936468275701</v>
      </c>
    </row>
    <row r="751" spans="1:6" x14ac:dyDescent="0.35">
      <c r="A751" s="16">
        <v>45471</v>
      </c>
      <c r="B751" t="s">
        <v>10</v>
      </c>
      <c r="C751" s="3">
        <v>1.5911088</v>
      </c>
      <c r="D751" s="8">
        <f>LOOKUP(EOMONTH(A751,0),Target_Prices!A$2:A$38,Target_Prices!H$2:H$38)</f>
        <v>2.0024799999999998</v>
      </c>
      <c r="E751">
        <f t="shared" si="25"/>
        <v>-4.1563771828985741E-2</v>
      </c>
      <c r="F751">
        <f t="shared" si="24"/>
        <v>0.25854372749368226</v>
      </c>
    </row>
    <row r="752" spans="1:6" x14ac:dyDescent="0.35">
      <c r="A752" s="15">
        <v>45504</v>
      </c>
      <c r="B752" t="s">
        <v>10</v>
      </c>
      <c r="C752" s="4">
        <v>1.5733652</v>
      </c>
      <c r="D752" s="8">
        <f>LOOKUP(EOMONTH(A752,0),Target_Prices!A$2:A$38,Target_Prices!H$2:H$38)</f>
        <v>2.0024799999999998</v>
      </c>
      <c r="E752">
        <f t="shared" si="25"/>
        <v>-1.1151720108643737E-2</v>
      </c>
      <c r="F752">
        <f t="shared" si="24"/>
        <v>0.27273693354854917</v>
      </c>
    </row>
    <row r="753" spans="1:6" x14ac:dyDescent="0.35">
      <c r="A753" s="16">
        <v>45534</v>
      </c>
      <c r="B753" t="s">
        <v>10</v>
      </c>
      <c r="C753" s="3">
        <v>1.5286808000000001</v>
      </c>
      <c r="D753" s="8">
        <f>LOOKUP(EOMONTH(A753,0),Target_Prices!A$2:A$38,Target_Prices!H$2:H$38)</f>
        <v>2.0024799999999998</v>
      </c>
      <c r="E753">
        <f t="shared" si="25"/>
        <v>-2.8400526463913112E-2</v>
      </c>
      <c r="F753">
        <f t="shared" si="24"/>
        <v>0.30993991682239991</v>
      </c>
    </row>
    <row r="754" spans="1:6" x14ac:dyDescent="0.35">
      <c r="A754" s="15">
        <v>45565</v>
      </c>
      <c r="B754" t="s">
        <v>10</v>
      </c>
      <c r="C754" s="4">
        <v>1.4019845</v>
      </c>
      <c r="D754" s="8">
        <f>LOOKUP(EOMONTH(A754,0),Target_Prices!A$2:A$38,Target_Prices!H$2:H$38)</f>
        <v>2.05335</v>
      </c>
      <c r="E754">
        <f t="shared" si="25"/>
        <v>-8.2879499762147923E-2</v>
      </c>
      <c r="F754">
        <f t="shared" si="24"/>
        <v>0.46460249738852322</v>
      </c>
    </row>
    <row r="755" spans="1:6" x14ac:dyDescent="0.35">
      <c r="A755" s="16">
        <v>45596</v>
      </c>
      <c r="B755" t="s">
        <v>10</v>
      </c>
      <c r="C755" s="3">
        <v>1.3890918000000001</v>
      </c>
      <c r="D755" s="8">
        <f>LOOKUP(EOMONTH(A755,0),Target_Prices!A$2:A$38,Target_Prices!H$2:H$38)</f>
        <v>2.05335</v>
      </c>
      <c r="E755">
        <f t="shared" si="25"/>
        <v>-9.1960360474739877E-3</v>
      </c>
      <c r="F755">
        <f t="shared" si="24"/>
        <v>0.47819604147112516</v>
      </c>
    </row>
    <row r="756" spans="1:6" x14ac:dyDescent="0.35">
      <c r="A756" s="15">
        <v>45625</v>
      </c>
      <c r="B756" t="s">
        <v>10</v>
      </c>
      <c r="C756" s="4">
        <v>1.5331545</v>
      </c>
      <c r="D756" s="8">
        <f>LOOKUP(EOMONTH(A756,0),Target_Prices!A$2:A$38,Target_Prices!H$2:H$38)</f>
        <v>2.05335</v>
      </c>
      <c r="E756">
        <f t="shared" si="25"/>
        <v>0.10370999238495249</v>
      </c>
      <c r="F756">
        <f t="shared" si="24"/>
        <v>0.33929750719839391</v>
      </c>
    </row>
    <row r="757" spans="1:6" x14ac:dyDescent="0.35">
      <c r="A757" s="16">
        <v>45657</v>
      </c>
      <c r="B757" t="s">
        <v>10</v>
      </c>
      <c r="C757" s="3">
        <v>1.6158440000000001</v>
      </c>
      <c r="D757" s="8">
        <f>LOOKUP(EOMONTH(A757,0),Target_Prices!A$2:A$38,Target_Prices!H$2:H$38)</f>
        <v>2.0548799999999998</v>
      </c>
      <c r="E757">
        <f t="shared" si="25"/>
        <v>5.3934225154738114E-2</v>
      </c>
      <c r="F757">
        <f t="shared" si="24"/>
        <v>0.27170692220288578</v>
      </c>
    </row>
    <row r="758" spans="1:6" x14ac:dyDescent="0.35">
      <c r="A758" s="15">
        <v>45688</v>
      </c>
      <c r="B758" t="s">
        <v>10</v>
      </c>
      <c r="C758" s="4">
        <v>1.7032695</v>
      </c>
      <c r="D758" s="8">
        <f>LOOKUP(EOMONTH(A758,0),Target_Prices!A$2:A$38,Target_Prices!H$2:H$38)</f>
        <v>2.0548799999999998</v>
      </c>
      <c r="E758">
        <f t="shared" si="25"/>
        <v>5.4105161141793312E-2</v>
      </c>
      <c r="F758">
        <f t="shared" si="24"/>
        <v>0.20643268725236955</v>
      </c>
    </row>
    <row r="759" spans="1:6" x14ac:dyDescent="0.35">
      <c r="A759" s="16">
        <v>45716</v>
      </c>
      <c r="B759" t="s">
        <v>10</v>
      </c>
      <c r="C759" s="3">
        <v>1.8100281</v>
      </c>
      <c r="D759" s="8">
        <f>LOOKUP(EOMONTH(A759,0),Target_Prices!A$2:A$38,Target_Prices!H$2:H$38)</f>
        <v>2.0548799999999998</v>
      </c>
      <c r="E759">
        <f t="shared" si="25"/>
        <v>6.2678630715808703E-2</v>
      </c>
      <c r="F759">
        <f t="shared" si="24"/>
        <v>0.13527519268899735</v>
      </c>
    </row>
    <row r="760" spans="1:6" x14ac:dyDescent="0.35">
      <c r="A760" s="15">
        <v>45747</v>
      </c>
      <c r="B760" t="s">
        <v>10</v>
      </c>
      <c r="C760" s="4">
        <v>1.7846093000000001</v>
      </c>
      <c r="D760" s="8">
        <f>LOOKUP(EOMONTH(A760,0),Target_Prices!A$2:A$38,Target_Prices!H$2:H$38)</f>
        <v>2.1249600000000002</v>
      </c>
      <c r="E760">
        <f t="shared" si="25"/>
        <v>-1.4043317891031637E-2</v>
      </c>
      <c r="F760">
        <f t="shared" si="24"/>
        <v>0.19071440454781902</v>
      </c>
    </row>
    <row r="761" spans="1:6" x14ac:dyDescent="0.35">
      <c r="A761" s="16">
        <v>45777</v>
      </c>
      <c r="B761" t="s">
        <v>10</v>
      </c>
      <c r="C761" s="3">
        <v>1.8817889999999999</v>
      </c>
      <c r="D761" s="8">
        <f>LOOKUP(EOMONTH(A761,0),Target_Prices!A$2:A$38,Target_Prices!H$2:H$38)</f>
        <v>2.1249600000000002</v>
      </c>
      <c r="E761">
        <f t="shared" si="25"/>
        <v>5.44543279024714E-2</v>
      </c>
      <c r="F761">
        <f t="shared" si="24"/>
        <v>0.12922330824550482</v>
      </c>
    </row>
    <row r="762" spans="1:6" x14ac:dyDescent="0.35">
      <c r="A762" s="15">
        <v>45807</v>
      </c>
      <c r="B762" t="s">
        <v>10</v>
      </c>
      <c r="C762" s="4">
        <v>1.8810209</v>
      </c>
      <c r="D762" s="8">
        <f>LOOKUP(EOMONTH(A762,0),Target_Prices!A$2:A$38,Target_Prices!H$2:H$38)</f>
        <v>2.1249600000000002</v>
      </c>
      <c r="E762">
        <f t="shared" si="25"/>
        <v>-4.0817541180226957E-4</v>
      </c>
      <c r="F762">
        <f t="shared" si="24"/>
        <v>0.12968441764788483</v>
      </c>
    </row>
    <row r="763" spans="1:6" x14ac:dyDescent="0.35">
      <c r="A763" s="16">
        <v>45838</v>
      </c>
      <c r="B763" t="s">
        <v>10</v>
      </c>
      <c r="C763" s="3">
        <v>1.8859313</v>
      </c>
      <c r="D763" s="8">
        <f>LOOKUP(EOMONTH(A763,0),Target_Prices!A$2:A$38,Target_Prices!H$2:H$38)</f>
        <v>2.0546199999999999</v>
      </c>
      <c r="E763">
        <f t="shared" si="25"/>
        <v>2.6104973102638596E-3</v>
      </c>
      <c r="F763">
        <f t="shared" si="24"/>
        <v>8.9445835063026904E-2</v>
      </c>
    </row>
    <row r="764" spans="1:6" x14ac:dyDescent="0.35">
      <c r="A764" s="15">
        <v>45869</v>
      </c>
      <c r="B764" t="s">
        <v>10</v>
      </c>
      <c r="C764" s="4">
        <v>1.9031359000000001</v>
      </c>
      <c r="D764" s="8">
        <f>LOOKUP(EOMONTH(A764,0),Target_Prices!A$2:A$38,Target_Prices!H$2:H$38)</f>
        <v>2.0546199999999999</v>
      </c>
      <c r="E764">
        <f t="shared" si="25"/>
        <v>9.1226016557444112E-3</v>
      </c>
      <c r="F764">
        <f t="shared" si="24"/>
        <v>7.9597100764059875E-2</v>
      </c>
    </row>
    <row r="765" spans="1:6" x14ac:dyDescent="0.35">
      <c r="A765" s="16">
        <v>45898</v>
      </c>
      <c r="B765" t="s">
        <v>10</v>
      </c>
      <c r="C765" s="3">
        <v>1.8577657000000001</v>
      </c>
      <c r="D765" s="8">
        <f>LOOKUP(EOMONTH(A765,0),Target_Prices!A$2:A$38,Target_Prices!H$2:H$38)</f>
        <v>2.0546199999999999</v>
      </c>
      <c r="E765">
        <f t="shared" si="25"/>
        <v>-2.3839705824476365E-2</v>
      </c>
      <c r="F765">
        <f t="shared" si="24"/>
        <v>0.10596293170877243</v>
      </c>
    </row>
    <row r="766" spans="1:6" x14ac:dyDescent="0.35">
      <c r="A766" s="15">
        <v>45930</v>
      </c>
      <c r="B766" t="s">
        <v>10</v>
      </c>
      <c r="C766" s="4">
        <v>1.9088106</v>
      </c>
      <c r="D766" s="8">
        <f>LOOKUP(EOMONTH(A766,0),Target_Prices!A$2:A$38,Target_Prices!H$2:H$38)</f>
        <v>2.1795599999999999</v>
      </c>
      <c r="E766">
        <f t="shared" si="25"/>
        <v>2.747650040045424E-2</v>
      </c>
      <c r="F766">
        <f t="shared" si="24"/>
        <v>0.14184194073524106</v>
      </c>
    </row>
    <row r="767" spans="1:6" x14ac:dyDescent="0.35">
      <c r="A767" s="16">
        <v>45961</v>
      </c>
      <c r="B767" t="s">
        <v>10</v>
      </c>
      <c r="C767" s="3">
        <v>2.0410094000000001</v>
      </c>
      <c r="D767" s="8">
        <f>LOOKUP(EOMONTH(A767,0),Target_Prices!A$2:A$38,Target_Prices!H$2:H$38)</f>
        <v>2.1795599999999999</v>
      </c>
      <c r="E767">
        <f t="shared" si="25"/>
        <v>6.9257159405967217E-2</v>
      </c>
      <c r="F767">
        <f t="shared" si="24"/>
        <v>6.7883371825724986E-2</v>
      </c>
    </row>
    <row r="768" spans="1:6" x14ac:dyDescent="0.35">
      <c r="A768" s="15">
        <v>45989</v>
      </c>
      <c r="B768" t="s">
        <v>10</v>
      </c>
      <c r="C768" s="4">
        <v>1.9580154000000001</v>
      </c>
      <c r="D768" s="8">
        <f>LOOKUP(EOMONTH(A768,0),Target_Prices!A$2:A$38,Target_Prices!H$2:H$38)</f>
        <v>2.1795599999999999</v>
      </c>
      <c r="E768">
        <f t="shared" si="25"/>
        <v>-4.0663213016069455E-2</v>
      </c>
      <c r="F768">
        <f t="shared" si="24"/>
        <v>0.11314752682741916</v>
      </c>
    </row>
    <row r="769" spans="1:6" x14ac:dyDescent="0.35">
      <c r="A769" s="16">
        <v>46022</v>
      </c>
      <c r="B769" t="s">
        <v>10</v>
      </c>
      <c r="C769" s="3">
        <v>1.9417872</v>
      </c>
      <c r="D769" s="8">
        <f>LOOKUP(EOMONTH(A769,0),Target_Prices!A$2:A$38,Target_Prices!H$2:H$38)</f>
        <v>2.2280500000000001</v>
      </c>
      <c r="E769">
        <f t="shared" si="25"/>
        <v>-8.2880859874748802E-3</v>
      </c>
      <c r="F769">
        <f t="shared" si="24"/>
        <v>0.1474223334050199</v>
      </c>
    </row>
    <row r="770" spans="1:6" x14ac:dyDescent="0.35">
      <c r="A770" s="15">
        <v>46052</v>
      </c>
      <c r="B770" t="s">
        <v>10</v>
      </c>
      <c r="C770" s="4">
        <v>2.2025901999999999</v>
      </c>
      <c r="D770" s="8">
        <f>LOOKUP(EOMONTH(A770,0),Target_Prices!A$2:A$38,Target_Prices!H$2:H$38)</f>
        <v>2.2280500000000001</v>
      </c>
      <c r="E770">
        <f t="shared" si="25"/>
        <v>0.13431080398511219</v>
      </c>
      <c r="F770">
        <f t="shared" si="24"/>
        <v>1.1559027185356651E-2</v>
      </c>
    </row>
    <row r="771" spans="1:6" s="11" customFormat="1" x14ac:dyDescent="0.35">
      <c r="A771" s="15">
        <v>46080</v>
      </c>
      <c r="B771" s="11" t="s">
        <v>10</v>
      </c>
      <c r="C771" s="3">
        <v>2.2676989999999999</v>
      </c>
      <c r="D771" s="8">
        <f>LOOKUP(EOMONTH(A771,0),Target_Prices!A$2:A$38,Target_Prices!H$2:H$38)</f>
        <v>2.2280500000000001</v>
      </c>
      <c r="E771">
        <f t="shared" si="25"/>
        <v>2.9560106096903516E-2</v>
      </c>
      <c r="F771">
        <f t="shared" ref="F771:F834" si="26">(D771-C771)/C771</f>
        <v>-1.7484242838224924E-2</v>
      </c>
    </row>
    <row r="772" spans="1:6" x14ac:dyDescent="0.35">
      <c r="A772" s="15">
        <v>42766</v>
      </c>
      <c r="B772" t="s">
        <v>1</v>
      </c>
      <c r="C772" s="4">
        <v>17.334236000000001</v>
      </c>
      <c r="D772" s="8">
        <f>LOOKUP(EOMONTH(A772,0),Target_Prices!A$2:A$38,Target_Prices!I$2:I$38)</f>
        <v>18.7059</v>
      </c>
      <c r="F772">
        <f t="shared" si="26"/>
        <v>7.9130340673797164E-2</v>
      </c>
    </row>
    <row r="773" spans="1:6" x14ac:dyDescent="0.35">
      <c r="A773" s="16">
        <v>42794</v>
      </c>
      <c r="B773" t="s">
        <v>1</v>
      </c>
      <c r="C773" s="3">
        <v>18.046493999999999</v>
      </c>
      <c r="D773" s="8">
        <f>LOOKUP(EOMONTH(A773,0),Target_Prices!A$2:A$38,Target_Prices!I$2:I$38)</f>
        <v>18.7059</v>
      </c>
      <c r="E773">
        <f>(C773/C772)-1</f>
        <v>4.1089667868834834E-2</v>
      </c>
      <c r="F773">
        <f t="shared" si="26"/>
        <v>3.6539285691724974E-2</v>
      </c>
    </row>
    <row r="774" spans="1:6" x14ac:dyDescent="0.35">
      <c r="A774" s="15">
        <v>42825</v>
      </c>
      <c r="B774" t="s">
        <v>1</v>
      </c>
      <c r="C774" s="4">
        <v>17.256454000000002</v>
      </c>
      <c r="D774" s="8">
        <f>LOOKUP(EOMONTH(A774,0),Target_Prices!A$2:A$38,Target_Prices!I$2:I$38)</f>
        <v>18.550899999999999</v>
      </c>
      <c r="E774">
        <f t="shared" ref="E774:E837" si="27">(C774/C773)-1</f>
        <v>-4.3778032453284155E-2</v>
      </c>
      <c r="F774">
        <f t="shared" si="26"/>
        <v>7.5012282361138452E-2</v>
      </c>
    </row>
    <row r="775" spans="1:6" x14ac:dyDescent="0.35">
      <c r="A775" s="16">
        <v>42853</v>
      </c>
      <c r="B775" t="s">
        <v>1</v>
      </c>
      <c r="C775" s="3">
        <v>16.526070000000001</v>
      </c>
      <c r="D775" s="8">
        <f>LOOKUP(EOMONTH(A775,0),Target_Prices!A$2:A$38,Target_Prices!I$2:I$38)</f>
        <v>18.550899999999999</v>
      </c>
      <c r="E775">
        <f t="shared" si="27"/>
        <v>-4.2325265665819956E-2</v>
      </c>
      <c r="F775">
        <f t="shared" si="26"/>
        <v>0.12252338275222105</v>
      </c>
    </row>
    <row r="776" spans="1:6" x14ac:dyDescent="0.35">
      <c r="A776" s="15">
        <v>42886</v>
      </c>
      <c r="B776" t="s">
        <v>1</v>
      </c>
      <c r="C776" s="4">
        <v>17.277721</v>
      </c>
      <c r="D776" s="8">
        <f>LOOKUP(EOMONTH(A776,0),Target_Prices!A$2:A$38,Target_Prices!I$2:I$38)</f>
        <v>18.550899999999999</v>
      </c>
      <c r="E776">
        <f t="shared" si="27"/>
        <v>4.5482743326150654E-2</v>
      </c>
      <c r="F776">
        <f t="shared" si="26"/>
        <v>7.3689058875299529E-2</v>
      </c>
    </row>
    <row r="777" spans="1:6" x14ac:dyDescent="0.35">
      <c r="A777" s="16">
        <v>42916</v>
      </c>
      <c r="B777" t="s">
        <v>1</v>
      </c>
      <c r="C777" s="3">
        <v>16.547931999999999</v>
      </c>
      <c r="D777" s="8">
        <f>LOOKUP(EOMONTH(A777,0),Target_Prices!A$2:A$38,Target_Prices!I$2:I$38)</f>
        <v>17.664000000000001</v>
      </c>
      <c r="E777">
        <f t="shared" si="27"/>
        <v>-4.2238730443673655E-2</v>
      </c>
      <c r="F777">
        <f t="shared" si="26"/>
        <v>6.744456044416923E-2</v>
      </c>
    </row>
    <row r="778" spans="1:6" x14ac:dyDescent="0.35">
      <c r="A778" s="15">
        <v>42947</v>
      </c>
      <c r="B778" t="s">
        <v>1</v>
      </c>
      <c r="C778" s="4">
        <v>15.419886999999999</v>
      </c>
      <c r="D778" s="8">
        <f>LOOKUP(EOMONTH(A778,0),Target_Prices!A$2:A$38,Target_Prices!I$2:I$38)</f>
        <v>17.664000000000001</v>
      </c>
      <c r="E778">
        <f t="shared" si="27"/>
        <v>-6.8168336684003794E-2</v>
      </c>
      <c r="F778">
        <f t="shared" si="26"/>
        <v>0.14553368646605533</v>
      </c>
    </row>
    <row r="779" spans="1:6" x14ac:dyDescent="0.35">
      <c r="A779" s="16">
        <v>42978</v>
      </c>
      <c r="B779" t="s">
        <v>1</v>
      </c>
      <c r="C779" s="3">
        <v>15.444392000000001</v>
      </c>
      <c r="D779" s="8">
        <f>LOOKUP(EOMONTH(A779,0),Target_Prices!A$2:A$38,Target_Prices!I$2:I$38)</f>
        <v>17.664000000000001</v>
      </c>
      <c r="E779">
        <f t="shared" si="27"/>
        <v>1.5891815549622379E-3</v>
      </c>
      <c r="F779">
        <f t="shared" si="26"/>
        <v>0.14371611391371061</v>
      </c>
    </row>
    <row r="780" spans="1:6" x14ac:dyDescent="0.35">
      <c r="A780" s="15">
        <v>43007</v>
      </c>
      <c r="B780" t="s">
        <v>1</v>
      </c>
      <c r="C780" s="4">
        <v>15.854213</v>
      </c>
      <c r="D780" s="8">
        <f>LOOKUP(EOMONTH(A780,0),Target_Prices!A$2:A$38,Target_Prices!I$2:I$38)</f>
        <v>17.469200000000001</v>
      </c>
      <c r="E780">
        <f t="shared" si="27"/>
        <v>2.6535262767223067E-2</v>
      </c>
      <c r="F780">
        <f t="shared" si="26"/>
        <v>0.10186484816370267</v>
      </c>
    </row>
    <row r="781" spans="1:6" x14ac:dyDescent="0.35">
      <c r="A781" s="16">
        <v>43039</v>
      </c>
      <c r="B781" t="s">
        <v>1</v>
      </c>
      <c r="C781" s="3">
        <v>15.753697000000001</v>
      </c>
      <c r="D781" s="8">
        <f>LOOKUP(EOMONTH(A781,0),Target_Prices!A$2:A$38,Target_Prices!I$2:I$38)</f>
        <v>17.469200000000001</v>
      </c>
      <c r="E781">
        <f t="shared" si="27"/>
        <v>-6.3400182651764947E-3</v>
      </c>
      <c r="F781">
        <f t="shared" si="26"/>
        <v>0.10889526439412919</v>
      </c>
    </row>
    <row r="782" spans="1:6" x14ac:dyDescent="0.35">
      <c r="A782" s="15">
        <v>43069</v>
      </c>
      <c r="B782" t="s">
        <v>1</v>
      </c>
      <c r="C782" s="4">
        <v>15.541969999999999</v>
      </c>
      <c r="D782" s="8">
        <f>LOOKUP(EOMONTH(A782,0),Target_Prices!A$2:A$38,Target_Prices!I$2:I$38)</f>
        <v>17.469200000000001</v>
      </c>
      <c r="E782">
        <f t="shared" si="27"/>
        <v>-1.3439829393697367E-2</v>
      </c>
      <c r="F782">
        <f t="shared" si="26"/>
        <v>0.12400165487386745</v>
      </c>
    </row>
    <row r="783" spans="1:6" x14ac:dyDescent="0.35">
      <c r="A783" s="16">
        <v>43098</v>
      </c>
      <c r="B783" t="s">
        <v>1</v>
      </c>
      <c r="C783" s="3">
        <v>14.870336999999999</v>
      </c>
      <c r="D783" s="8">
        <f>LOOKUP(EOMONTH(A783,0),Target_Prices!A$2:A$38,Target_Prices!I$2:I$38)</f>
        <v>17.1952</v>
      </c>
      <c r="E783">
        <f t="shared" si="27"/>
        <v>-4.3214148528146645E-2</v>
      </c>
      <c r="F783">
        <f t="shared" si="26"/>
        <v>0.15634232095748743</v>
      </c>
    </row>
    <row r="784" spans="1:6" x14ac:dyDescent="0.35">
      <c r="A784" s="15">
        <v>43131</v>
      </c>
      <c r="B784" t="s">
        <v>1</v>
      </c>
      <c r="C784" s="4">
        <v>14.891145</v>
      </c>
      <c r="D784" s="8">
        <f>LOOKUP(EOMONTH(A784,0),Target_Prices!A$2:A$38,Target_Prices!I$2:I$38)</f>
        <v>17.1952</v>
      </c>
      <c r="E784">
        <f t="shared" si="27"/>
        <v>1.3992957926911576E-3</v>
      </c>
      <c r="F784">
        <f t="shared" si="26"/>
        <v>0.15472651700053958</v>
      </c>
    </row>
    <row r="785" spans="1:6" x14ac:dyDescent="0.35">
      <c r="A785" s="16">
        <v>43159</v>
      </c>
      <c r="B785" t="s">
        <v>1</v>
      </c>
      <c r="C785" s="3">
        <v>13.838939999999999</v>
      </c>
      <c r="D785" s="8">
        <f>LOOKUP(EOMONTH(A785,0),Target_Prices!A$2:A$38,Target_Prices!I$2:I$38)</f>
        <v>17.1952</v>
      </c>
      <c r="E785">
        <f t="shared" si="27"/>
        <v>-7.0659778009011465E-2</v>
      </c>
      <c r="F785">
        <f t="shared" si="26"/>
        <v>0.24252290999166129</v>
      </c>
    </row>
    <row r="786" spans="1:6" x14ac:dyDescent="0.35">
      <c r="A786" s="15">
        <v>43189</v>
      </c>
      <c r="B786" t="s">
        <v>1</v>
      </c>
      <c r="C786" s="4">
        <v>14.554399500000001</v>
      </c>
      <c r="D786" s="8">
        <f>LOOKUP(EOMONTH(A786,0),Target_Prices!A$2:A$38,Target_Prices!I$2:I$38)</f>
        <v>16.677499999999998</v>
      </c>
      <c r="E786">
        <f t="shared" si="27"/>
        <v>5.1699010184306227E-2</v>
      </c>
      <c r="F786">
        <f t="shared" si="26"/>
        <v>0.14587345221628675</v>
      </c>
    </row>
    <row r="787" spans="1:6" x14ac:dyDescent="0.35">
      <c r="A787" s="16">
        <v>43220</v>
      </c>
      <c r="B787" t="s">
        <v>1</v>
      </c>
      <c r="C787" s="3">
        <v>15.743423</v>
      </c>
      <c r="D787" s="8">
        <f>LOOKUP(EOMONTH(A787,0),Target_Prices!A$2:A$38,Target_Prices!I$2:I$38)</f>
        <v>16.677499999999998</v>
      </c>
      <c r="E787">
        <f t="shared" si="27"/>
        <v>8.169512593082251E-2</v>
      </c>
      <c r="F787">
        <f t="shared" si="26"/>
        <v>5.9331252167968709E-2</v>
      </c>
    </row>
    <row r="788" spans="1:6" x14ac:dyDescent="0.35">
      <c r="A788" s="15">
        <v>43251</v>
      </c>
      <c r="B788" t="s">
        <v>1</v>
      </c>
      <c r="C788" s="4">
        <v>15.588657</v>
      </c>
      <c r="D788" s="8">
        <f>LOOKUP(EOMONTH(A788,0),Target_Prices!A$2:A$38,Target_Prices!I$2:I$38)</f>
        <v>16.677499999999998</v>
      </c>
      <c r="E788">
        <f t="shared" si="27"/>
        <v>-9.8305177978130764E-3</v>
      </c>
      <c r="F788">
        <f t="shared" si="26"/>
        <v>6.9848416063038585E-2</v>
      </c>
    </row>
    <row r="789" spans="1:6" x14ac:dyDescent="0.35">
      <c r="A789" s="16">
        <v>43280</v>
      </c>
      <c r="B789" t="s">
        <v>1</v>
      </c>
      <c r="C789" s="3">
        <v>15.322160999999999</v>
      </c>
      <c r="D789" s="8">
        <f>LOOKUP(EOMONTH(A789,0),Target_Prices!A$2:A$38,Target_Prices!I$2:I$38)</f>
        <v>16.362500000000001</v>
      </c>
      <c r="E789">
        <f t="shared" si="27"/>
        <v>-1.7095507329463966E-2</v>
      </c>
      <c r="F789">
        <f t="shared" si="26"/>
        <v>6.7897667959500058E-2</v>
      </c>
    </row>
    <row r="790" spans="1:6" x14ac:dyDescent="0.35">
      <c r="A790" s="15">
        <v>43312</v>
      </c>
      <c r="B790" t="s">
        <v>1</v>
      </c>
      <c r="C790" s="4">
        <v>14.013823500000001</v>
      </c>
      <c r="D790" s="8">
        <f>LOOKUP(EOMONTH(A790,0),Target_Prices!A$2:A$38,Target_Prices!I$2:I$38)</f>
        <v>16.362500000000001</v>
      </c>
      <c r="E790">
        <f t="shared" si="27"/>
        <v>-8.538857541047884E-2</v>
      </c>
      <c r="F790">
        <f t="shared" si="26"/>
        <v>0.16759712294078769</v>
      </c>
    </row>
    <row r="791" spans="1:6" x14ac:dyDescent="0.35">
      <c r="A791" s="16">
        <v>43343</v>
      </c>
      <c r="B791" t="s">
        <v>1</v>
      </c>
      <c r="C791" s="3">
        <v>13.997308</v>
      </c>
      <c r="D791" s="8">
        <f>LOOKUP(EOMONTH(A791,0),Target_Prices!A$2:A$38,Target_Prices!I$2:I$38)</f>
        <v>16.362500000000001</v>
      </c>
      <c r="E791">
        <f t="shared" si="27"/>
        <v>-1.1785149142202744E-3</v>
      </c>
      <c r="F791">
        <f t="shared" si="26"/>
        <v>0.16897477715000631</v>
      </c>
    </row>
    <row r="792" spans="1:6" x14ac:dyDescent="0.35">
      <c r="A792" s="15">
        <v>43371</v>
      </c>
      <c r="B792" t="s">
        <v>1</v>
      </c>
      <c r="C792" s="4">
        <v>12.866476</v>
      </c>
      <c r="D792" s="8">
        <f>LOOKUP(EOMONTH(A792,0),Target_Prices!A$2:A$38,Target_Prices!I$2:I$38)</f>
        <v>15.1594</v>
      </c>
      <c r="E792">
        <f t="shared" si="27"/>
        <v>-8.0789248904146405E-2</v>
      </c>
      <c r="F792">
        <f t="shared" si="26"/>
        <v>0.17820916931722403</v>
      </c>
    </row>
    <row r="793" spans="1:6" x14ac:dyDescent="0.35">
      <c r="A793" s="16">
        <v>43404</v>
      </c>
      <c r="B793" t="s">
        <v>1</v>
      </c>
      <c r="C793" s="3">
        <v>12.872790999999999</v>
      </c>
      <c r="D793" s="8">
        <f>LOOKUP(EOMONTH(A793,0),Target_Prices!A$2:A$38,Target_Prices!I$2:I$38)</f>
        <v>15.1594</v>
      </c>
      <c r="E793">
        <f t="shared" si="27"/>
        <v>4.9081038195697424E-4</v>
      </c>
      <c r="F793">
        <f t="shared" si="26"/>
        <v>0.17763117571006942</v>
      </c>
    </row>
    <row r="794" spans="1:6" x14ac:dyDescent="0.35">
      <c r="A794" s="15">
        <v>43434</v>
      </c>
      <c r="B794" t="s">
        <v>1</v>
      </c>
      <c r="C794" s="4">
        <v>12.344874000000001</v>
      </c>
      <c r="D794" s="8">
        <f>LOOKUP(EOMONTH(A794,0),Target_Prices!A$2:A$38,Target_Prices!I$2:I$38)</f>
        <v>15.1594</v>
      </c>
      <c r="E794">
        <f t="shared" si="27"/>
        <v>-4.1010298388282629E-2</v>
      </c>
      <c r="F794">
        <f t="shared" si="26"/>
        <v>0.22799147241195</v>
      </c>
    </row>
    <row r="795" spans="1:6" x14ac:dyDescent="0.35">
      <c r="A795" s="16">
        <v>43465</v>
      </c>
      <c r="B795" t="s">
        <v>1</v>
      </c>
      <c r="C795" s="3">
        <v>12.049149</v>
      </c>
      <c r="D795" s="8">
        <f>LOOKUP(EOMONTH(A795,0),Target_Prices!A$2:A$38,Target_Prices!I$2:I$38)</f>
        <v>14.8309</v>
      </c>
      <c r="E795">
        <f t="shared" si="27"/>
        <v>-2.3955287028446071E-2</v>
      </c>
      <c r="F795">
        <f t="shared" si="26"/>
        <v>0.23086700977803493</v>
      </c>
    </row>
    <row r="796" spans="1:6" x14ac:dyDescent="0.35">
      <c r="A796" s="15">
        <v>43496</v>
      </c>
      <c r="B796" t="s">
        <v>1</v>
      </c>
      <c r="C796" s="4">
        <v>13.413016000000001</v>
      </c>
      <c r="D796" s="8">
        <f>LOOKUP(EOMONTH(A796,0),Target_Prices!A$2:A$38,Target_Prices!I$2:I$38)</f>
        <v>14.8309</v>
      </c>
      <c r="E796">
        <f t="shared" si="27"/>
        <v>0.11319197729233821</v>
      </c>
      <c r="F796">
        <f t="shared" si="26"/>
        <v>0.10570955853627544</v>
      </c>
    </row>
    <row r="797" spans="1:6" x14ac:dyDescent="0.35">
      <c r="A797" s="16">
        <v>43524</v>
      </c>
      <c r="B797" t="s">
        <v>1</v>
      </c>
      <c r="C797" s="3">
        <v>13.882707999999999</v>
      </c>
      <c r="D797" s="8">
        <f>LOOKUP(EOMONTH(A797,0),Target_Prices!A$2:A$38,Target_Prices!I$2:I$38)</f>
        <v>14.8309</v>
      </c>
      <c r="E797">
        <f t="shared" si="27"/>
        <v>3.5017627653616268E-2</v>
      </c>
      <c r="F797">
        <f t="shared" si="26"/>
        <v>6.8300219236765672E-2</v>
      </c>
    </row>
    <row r="798" spans="1:6" x14ac:dyDescent="0.35">
      <c r="A798" s="15">
        <v>43553</v>
      </c>
      <c r="B798" t="s">
        <v>1</v>
      </c>
      <c r="C798" s="4">
        <v>13.774952000000001</v>
      </c>
      <c r="D798" s="8">
        <f>LOOKUP(EOMONTH(A798,0),Target_Prices!A$2:A$38,Target_Prices!I$2:I$38)</f>
        <v>15.0581</v>
      </c>
      <c r="E798">
        <f t="shared" si="27"/>
        <v>-7.7618862256555454E-3</v>
      </c>
      <c r="F798">
        <f t="shared" si="26"/>
        <v>9.3150814609009078E-2</v>
      </c>
    </row>
    <row r="799" spans="1:6" x14ac:dyDescent="0.35">
      <c r="A799" s="16">
        <v>43585</v>
      </c>
      <c r="B799" t="s">
        <v>1</v>
      </c>
      <c r="C799" s="3">
        <v>13.313354</v>
      </c>
      <c r="D799" s="8">
        <f>LOOKUP(EOMONTH(A799,0),Target_Prices!A$2:A$38,Target_Prices!I$2:I$38)</f>
        <v>15.0581</v>
      </c>
      <c r="E799">
        <f t="shared" si="27"/>
        <v>-3.3509953428512929E-2</v>
      </c>
      <c r="F799">
        <f t="shared" si="26"/>
        <v>0.13105232535693104</v>
      </c>
    </row>
    <row r="800" spans="1:6" x14ac:dyDescent="0.35">
      <c r="A800" s="15">
        <v>43616</v>
      </c>
      <c r="B800" t="s">
        <v>1</v>
      </c>
      <c r="C800" s="4">
        <v>12.198513999999999</v>
      </c>
      <c r="D800" s="8">
        <f>LOOKUP(EOMONTH(A800,0),Target_Prices!A$2:A$38,Target_Prices!I$2:I$38)</f>
        <v>15.0581</v>
      </c>
      <c r="E800">
        <f t="shared" si="27"/>
        <v>-8.3738477922242649E-2</v>
      </c>
      <c r="F800">
        <f t="shared" si="26"/>
        <v>0.23442084830988433</v>
      </c>
    </row>
    <row r="801" spans="1:6" x14ac:dyDescent="0.35">
      <c r="A801" s="16">
        <v>43644</v>
      </c>
      <c r="B801" t="s">
        <v>1</v>
      </c>
      <c r="C801" s="3">
        <v>12.5392475</v>
      </c>
      <c r="D801" s="8">
        <f>LOOKUP(EOMONTH(A801,0),Target_Prices!A$2:A$38,Target_Prices!I$2:I$38)</f>
        <v>13.7239</v>
      </c>
      <c r="E801">
        <f t="shared" si="27"/>
        <v>2.7932377665017327E-2</v>
      </c>
      <c r="F801">
        <f t="shared" si="26"/>
        <v>9.4475565619069266E-2</v>
      </c>
    </row>
    <row r="802" spans="1:6" x14ac:dyDescent="0.35">
      <c r="A802" s="15">
        <v>43677</v>
      </c>
      <c r="B802" t="s">
        <v>1</v>
      </c>
      <c r="C802" s="4">
        <v>12.102633000000001</v>
      </c>
      <c r="D802" s="8">
        <f>LOOKUP(EOMONTH(A802,0),Target_Prices!A$2:A$38,Target_Prices!I$2:I$38)</f>
        <v>13.7239</v>
      </c>
      <c r="E802">
        <f t="shared" si="27"/>
        <v>-3.4819832689321983E-2</v>
      </c>
      <c r="F802">
        <f t="shared" si="26"/>
        <v>0.1339598581564854</v>
      </c>
    </row>
    <row r="803" spans="1:6" x14ac:dyDescent="0.35">
      <c r="A803" s="16">
        <v>43707</v>
      </c>
      <c r="B803" t="s">
        <v>1</v>
      </c>
      <c r="C803" s="3">
        <v>12.728675000000001</v>
      </c>
      <c r="D803" s="8">
        <f>LOOKUP(EOMONTH(A803,0),Target_Prices!A$2:A$38,Target_Prices!I$2:I$38)</f>
        <v>13.7239</v>
      </c>
      <c r="E803">
        <f t="shared" si="27"/>
        <v>5.1727752134597571E-2</v>
      </c>
      <c r="F803">
        <f t="shared" si="26"/>
        <v>7.8187635398028435E-2</v>
      </c>
    </row>
    <row r="804" spans="1:6" x14ac:dyDescent="0.35">
      <c r="A804" s="15">
        <v>43738</v>
      </c>
      <c r="B804" t="s">
        <v>1</v>
      </c>
      <c r="C804" s="4">
        <v>14.078423000000001</v>
      </c>
      <c r="D804" s="8">
        <f>LOOKUP(EOMONTH(A804,0),Target_Prices!A$2:A$38,Target_Prices!I$2:I$38)</f>
        <v>14.322100000000001</v>
      </c>
      <c r="E804">
        <f t="shared" si="27"/>
        <v>0.10603994524174754</v>
      </c>
      <c r="F804">
        <f t="shared" si="26"/>
        <v>1.7308543719704965E-2</v>
      </c>
    </row>
    <row r="805" spans="1:6" x14ac:dyDescent="0.35">
      <c r="A805" s="16">
        <v>43769</v>
      </c>
      <c r="B805" t="s">
        <v>1</v>
      </c>
      <c r="C805" s="3">
        <v>14.886827</v>
      </c>
      <c r="D805" s="8">
        <f>LOOKUP(EOMONTH(A805,0),Target_Prices!A$2:A$38,Target_Prices!I$2:I$38)</f>
        <v>14.322100000000001</v>
      </c>
      <c r="E805">
        <f t="shared" si="27"/>
        <v>5.7421488187987979E-2</v>
      </c>
      <c r="F805">
        <f t="shared" si="26"/>
        <v>-3.7934678759953315E-2</v>
      </c>
    </row>
    <row r="806" spans="1:6" x14ac:dyDescent="0.35">
      <c r="A806" s="15">
        <v>43798</v>
      </c>
      <c r="B806" t="s">
        <v>1</v>
      </c>
      <c r="C806" s="4">
        <v>15.250771</v>
      </c>
      <c r="D806" s="8">
        <f>LOOKUP(EOMONTH(A806,0),Target_Prices!A$2:A$38,Target_Prices!I$2:I$38)</f>
        <v>14.322100000000001</v>
      </c>
      <c r="E806">
        <f t="shared" si="27"/>
        <v>2.4447385598018956E-2</v>
      </c>
      <c r="F806">
        <f t="shared" si="26"/>
        <v>-6.0893380406800389E-2</v>
      </c>
    </row>
    <row r="807" spans="1:6" x14ac:dyDescent="0.35">
      <c r="A807" s="16">
        <v>43830</v>
      </c>
      <c r="B807" t="s">
        <v>1</v>
      </c>
      <c r="C807" s="3">
        <v>16.976863999999999</v>
      </c>
      <c r="D807" s="8">
        <f>LOOKUP(EOMONTH(A807,0),Target_Prices!A$2:A$38,Target_Prices!I$2:I$38)</f>
        <v>16.037199999999999</v>
      </c>
      <c r="E807">
        <f t="shared" si="27"/>
        <v>0.11318070410997572</v>
      </c>
      <c r="F807">
        <f t="shared" si="26"/>
        <v>-5.5349680600610372E-2</v>
      </c>
    </row>
    <row r="808" spans="1:6" x14ac:dyDescent="0.35">
      <c r="A808" s="15">
        <v>43861</v>
      </c>
      <c r="B808" t="s">
        <v>1</v>
      </c>
      <c r="C808" s="4">
        <v>17.943553999999999</v>
      </c>
      <c r="D808" s="8">
        <f>LOOKUP(EOMONTH(A808,0),Target_Prices!A$2:A$38,Target_Prices!I$2:I$38)</f>
        <v>16.037199999999999</v>
      </c>
      <c r="E808">
        <f t="shared" si="27"/>
        <v>5.6941611831254679E-2</v>
      </c>
      <c r="F808">
        <f t="shared" si="26"/>
        <v>-0.10624171777787168</v>
      </c>
    </row>
    <row r="809" spans="1:6" x14ac:dyDescent="0.35">
      <c r="A809" s="16">
        <v>43889</v>
      </c>
      <c r="B809" t="s">
        <v>1</v>
      </c>
      <c r="C809" s="3">
        <v>17.779523999999999</v>
      </c>
      <c r="D809" s="8">
        <f>LOOKUP(EOMONTH(A809,0),Target_Prices!A$2:A$38,Target_Prices!I$2:I$38)</f>
        <v>16.037199999999999</v>
      </c>
      <c r="E809">
        <f t="shared" si="27"/>
        <v>-9.1414443314853377E-3</v>
      </c>
      <c r="F809">
        <f t="shared" si="26"/>
        <v>-9.7996099333143002E-2</v>
      </c>
    </row>
    <row r="810" spans="1:6" x14ac:dyDescent="0.35">
      <c r="A810" s="15">
        <v>43921</v>
      </c>
      <c r="B810" t="s">
        <v>1</v>
      </c>
      <c r="C810" s="4">
        <v>14.747185</v>
      </c>
      <c r="D810" s="8">
        <f>LOOKUP(EOMONTH(A810,0),Target_Prices!A$2:A$38,Target_Prices!I$2:I$38)</f>
        <v>16.714200000000002</v>
      </c>
      <c r="E810">
        <f t="shared" si="27"/>
        <v>-0.17055231624873635</v>
      </c>
      <c r="F810">
        <f t="shared" si="26"/>
        <v>0.13338240484539943</v>
      </c>
    </row>
    <row r="811" spans="1:6" x14ac:dyDescent="0.35">
      <c r="A811" s="16">
        <v>43951</v>
      </c>
      <c r="B811" t="s">
        <v>1</v>
      </c>
      <c r="C811" s="3">
        <v>14.395028</v>
      </c>
      <c r="D811" s="8">
        <f>LOOKUP(EOMONTH(A811,0),Target_Prices!A$2:A$38,Target_Prices!I$2:I$38)</f>
        <v>16.714200000000002</v>
      </c>
      <c r="E811">
        <f t="shared" si="27"/>
        <v>-2.3879608209973591E-2</v>
      </c>
      <c r="F811">
        <f t="shared" si="26"/>
        <v>0.16110923855097758</v>
      </c>
    </row>
    <row r="812" spans="1:6" x14ac:dyDescent="0.35">
      <c r="A812" s="15">
        <v>43980</v>
      </c>
      <c r="B812" t="s">
        <v>1</v>
      </c>
      <c r="C812" s="4">
        <v>13.798411</v>
      </c>
      <c r="D812" s="8">
        <f>LOOKUP(EOMONTH(A812,0),Target_Prices!A$2:A$38,Target_Prices!I$2:I$38)</f>
        <v>16.714200000000002</v>
      </c>
      <c r="E812">
        <f t="shared" si="27"/>
        <v>-4.1446046509947765E-2</v>
      </c>
      <c r="F812">
        <f t="shared" si="26"/>
        <v>0.2113133896359517</v>
      </c>
    </row>
    <row r="813" spans="1:6" x14ac:dyDescent="0.35">
      <c r="A813" s="16">
        <v>44012</v>
      </c>
      <c r="B813" t="s">
        <v>1</v>
      </c>
      <c r="C813" s="3">
        <v>15.011141</v>
      </c>
      <c r="D813" s="8">
        <f>LOOKUP(EOMONTH(A813,0),Target_Prices!A$2:A$38,Target_Prices!I$2:I$38)</f>
        <v>15.021800000000001</v>
      </c>
      <c r="E813">
        <f t="shared" si="27"/>
        <v>8.788910549192952E-2</v>
      </c>
      <c r="F813">
        <f t="shared" si="26"/>
        <v>7.1007260540690534E-4</v>
      </c>
    </row>
    <row r="814" spans="1:6" x14ac:dyDescent="0.35">
      <c r="A814" s="15">
        <v>44043</v>
      </c>
      <c r="B814" t="s">
        <v>1</v>
      </c>
      <c r="C814" s="4">
        <v>14.440275</v>
      </c>
      <c r="D814" s="8">
        <f>LOOKUP(EOMONTH(A814,0),Target_Prices!A$2:A$38,Target_Prices!I$2:I$38)</f>
        <v>15.021800000000001</v>
      </c>
      <c r="E814">
        <f t="shared" si="27"/>
        <v>-3.8029487565269027E-2</v>
      </c>
      <c r="F814">
        <f t="shared" si="26"/>
        <v>4.0271047469663909E-2</v>
      </c>
    </row>
    <row r="815" spans="1:6" x14ac:dyDescent="0.35">
      <c r="A815" s="16">
        <v>44074</v>
      </c>
      <c r="B815" t="s">
        <v>1</v>
      </c>
      <c r="C815" s="3">
        <v>14.106346</v>
      </c>
      <c r="D815" s="8">
        <f>LOOKUP(EOMONTH(A815,0),Target_Prices!A$2:A$38,Target_Prices!I$2:I$38)</f>
        <v>15.021800000000001</v>
      </c>
      <c r="E815">
        <f t="shared" si="27"/>
        <v>-2.3124836611491117E-2</v>
      </c>
      <c r="F815">
        <f t="shared" si="26"/>
        <v>6.4896607526853542E-2</v>
      </c>
    </row>
    <row r="816" spans="1:6" x14ac:dyDescent="0.35">
      <c r="A816" s="15">
        <v>44104</v>
      </c>
      <c r="B816" t="s">
        <v>1</v>
      </c>
      <c r="C816" s="4">
        <v>13.317719</v>
      </c>
      <c r="D816" s="8">
        <f>LOOKUP(EOMONTH(A816,0),Target_Prices!A$2:A$38,Target_Prices!I$2:I$38)</f>
        <v>15.6305</v>
      </c>
      <c r="E816">
        <f t="shared" si="27"/>
        <v>-5.5905831318755372E-2</v>
      </c>
      <c r="F816">
        <f t="shared" si="26"/>
        <v>0.17366194616360348</v>
      </c>
    </row>
    <row r="817" spans="1:6" x14ac:dyDescent="0.35">
      <c r="A817" s="16">
        <v>44134</v>
      </c>
      <c r="B817" t="s">
        <v>1</v>
      </c>
      <c r="C817" s="3">
        <v>13.930678</v>
      </c>
      <c r="D817" s="8">
        <f>LOOKUP(EOMONTH(A817,0),Target_Prices!A$2:A$38,Target_Prices!I$2:I$38)</f>
        <v>15.6305</v>
      </c>
      <c r="E817">
        <f t="shared" si="27"/>
        <v>4.6025824692651929E-2</v>
      </c>
      <c r="F817">
        <f t="shared" si="26"/>
        <v>0.12202004812687503</v>
      </c>
    </row>
    <row r="818" spans="1:6" x14ac:dyDescent="0.35">
      <c r="A818" s="15">
        <v>44165</v>
      </c>
      <c r="B818" t="s">
        <v>1</v>
      </c>
      <c r="C818" s="4">
        <v>14.966578</v>
      </c>
      <c r="D818" s="8">
        <f>LOOKUP(EOMONTH(A818,0),Target_Prices!A$2:A$38,Target_Prices!I$2:I$38)</f>
        <v>15.6305</v>
      </c>
      <c r="E818">
        <f t="shared" si="27"/>
        <v>7.4361061249136551E-2</v>
      </c>
      <c r="F818">
        <f t="shared" si="26"/>
        <v>4.4360307346141478E-2</v>
      </c>
    </row>
    <row r="819" spans="1:6" x14ac:dyDescent="0.35">
      <c r="A819" s="16">
        <v>44196</v>
      </c>
      <c r="B819" t="s">
        <v>1</v>
      </c>
      <c r="C819" s="3">
        <v>16.757999999999999</v>
      </c>
      <c r="D819" s="8">
        <f>LOOKUP(EOMONTH(A819,0),Target_Prices!A$2:A$38,Target_Prices!I$2:I$38)</f>
        <v>16.8794</v>
      </c>
      <c r="E819">
        <f t="shared" si="27"/>
        <v>0.11969482937248577</v>
      </c>
      <c r="F819">
        <f t="shared" si="26"/>
        <v>7.244301229263712E-3</v>
      </c>
    </row>
    <row r="820" spans="1:6" x14ac:dyDescent="0.35">
      <c r="A820" s="15">
        <v>44225</v>
      </c>
      <c r="B820" t="s">
        <v>1</v>
      </c>
      <c r="C820" s="4">
        <v>16.773634000000001</v>
      </c>
      <c r="D820" s="8">
        <f>LOOKUP(EOMONTH(A820,0),Target_Prices!A$2:A$38,Target_Prices!I$2:I$38)</f>
        <v>16.8794</v>
      </c>
      <c r="E820">
        <f t="shared" si="27"/>
        <v>9.3292755698781704E-4</v>
      </c>
      <c r="F820">
        <f t="shared" si="26"/>
        <v>6.3054911058628756E-3</v>
      </c>
    </row>
    <row r="821" spans="1:6" x14ac:dyDescent="0.35">
      <c r="A821" s="16">
        <v>44253</v>
      </c>
      <c r="B821" t="s">
        <v>1</v>
      </c>
      <c r="C821" s="3">
        <v>15.256084</v>
      </c>
      <c r="D821" s="8">
        <f>LOOKUP(EOMONTH(A821,0),Target_Prices!A$2:A$38,Target_Prices!I$2:I$38)</f>
        <v>16.8794</v>
      </c>
      <c r="E821">
        <f t="shared" si="27"/>
        <v>-9.0472344871719623E-2</v>
      </c>
      <c r="F821">
        <f t="shared" si="26"/>
        <v>0.10640450065691831</v>
      </c>
    </row>
    <row r="822" spans="1:6" x14ac:dyDescent="0.35">
      <c r="A822" s="15">
        <v>44286</v>
      </c>
      <c r="B822" t="s">
        <v>1</v>
      </c>
      <c r="C822" s="4">
        <v>17.080437</v>
      </c>
      <c r="D822" s="8">
        <f>LOOKUP(EOMONTH(A822,0),Target_Prices!A$2:A$38,Target_Prices!I$2:I$38)</f>
        <v>19.122399999999999</v>
      </c>
      <c r="E822">
        <f t="shared" si="27"/>
        <v>0.11958199758207932</v>
      </c>
      <c r="F822">
        <f t="shared" si="26"/>
        <v>0.11954981011317212</v>
      </c>
    </row>
    <row r="823" spans="1:6" x14ac:dyDescent="0.35">
      <c r="A823" s="16">
        <v>44316</v>
      </c>
      <c r="B823" t="s">
        <v>1</v>
      </c>
      <c r="C823" s="3">
        <v>16.884194999999998</v>
      </c>
      <c r="D823" s="8">
        <f>LOOKUP(EOMONTH(A823,0),Target_Prices!A$2:A$38,Target_Prices!I$2:I$38)</f>
        <v>19.122399999999999</v>
      </c>
      <c r="E823">
        <f t="shared" si="27"/>
        <v>-1.1489284495472929E-2</v>
      </c>
      <c r="F823">
        <f t="shared" si="26"/>
        <v>0.13256213873388697</v>
      </c>
    </row>
    <row r="824" spans="1:6" x14ac:dyDescent="0.35">
      <c r="A824" s="15">
        <v>44347</v>
      </c>
      <c r="B824" t="s">
        <v>1</v>
      </c>
      <c r="C824" s="4">
        <v>17.94791</v>
      </c>
      <c r="D824" s="8">
        <f>LOOKUP(EOMONTH(A824,0),Target_Prices!A$2:A$38,Target_Prices!I$2:I$38)</f>
        <v>19.122399999999999</v>
      </c>
      <c r="E824">
        <f t="shared" si="27"/>
        <v>6.3000634617167206E-2</v>
      </c>
      <c r="F824">
        <f t="shared" si="26"/>
        <v>6.5438817110181555E-2</v>
      </c>
    </row>
    <row r="825" spans="1:6" x14ac:dyDescent="0.35">
      <c r="A825" s="16">
        <v>44377</v>
      </c>
      <c r="B825" t="s">
        <v>1</v>
      </c>
      <c r="C825" s="3">
        <v>17.479263</v>
      </c>
      <c r="D825" s="8">
        <f>LOOKUP(EOMONTH(A825,0),Target_Prices!A$2:A$38,Target_Prices!I$2:I$38)</f>
        <v>19.298400000000001</v>
      </c>
      <c r="E825">
        <f t="shared" si="27"/>
        <v>-2.6111508248035653E-2</v>
      </c>
      <c r="F825">
        <f t="shared" si="26"/>
        <v>0.10407401044311773</v>
      </c>
    </row>
    <row r="826" spans="1:6" x14ac:dyDescent="0.35">
      <c r="A826" s="15">
        <v>44407</v>
      </c>
      <c r="B826" t="s">
        <v>1</v>
      </c>
      <c r="C826" s="4">
        <v>16.94848</v>
      </c>
      <c r="D826" s="8">
        <f>LOOKUP(EOMONTH(A826,0),Target_Prices!A$2:A$38,Target_Prices!I$2:I$38)</f>
        <v>19.298400000000001</v>
      </c>
      <c r="E826">
        <f t="shared" si="27"/>
        <v>-3.0366440507245573E-2</v>
      </c>
      <c r="F826">
        <f t="shared" si="26"/>
        <v>0.13865078166301645</v>
      </c>
    </row>
    <row r="827" spans="1:6" x14ac:dyDescent="0.35">
      <c r="A827" s="16">
        <v>44439</v>
      </c>
      <c r="B827" t="s">
        <v>1</v>
      </c>
      <c r="C827" s="3">
        <v>19.032812</v>
      </c>
      <c r="D827" s="8">
        <f>LOOKUP(EOMONTH(A827,0),Target_Prices!A$2:A$38,Target_Prices!I$2:I$38)</f>
        <v>19.298400000000001</v>
      </c>
      <c r="E827">
        <f t="shared" si="27"/>
        <v>0.12298046786496486</v>
      </c>
      <c r="F827">
        <f t="shared" si="26"/>
        <v>1.3954217590128094E-2</v>
      </c>
    </row>
    <row r="828" spans="1:6" x14ac:dyDescent="0.35">
      <c r="A828" s="15">
        <v>44469</v>
      </c>
      <c r="B828" t="s">
        <v>1</v>
      </c>
      <c r="C828" s="4">
        <v>18.277387999999998</v>
      </c>
      <c r="D828" s="8">
        <f>LOOKUP(EOMONTH(A828,0),Target_Prices!A$2:A$38,Target_Prices!I$2:I$38)</f>
        <v>20.0303</v>
      </c>
      <c r="E828">
        <f t="shared" si="27"/>
        <v>-3.9690614292832938E-2</v>
      </c>
      <c r="F828">
        <f t="shared" si="26"/>
        <v>9.5906045218277475E-2</v>
      </c>
    </row>
    <row r="829" spans="1:6" x14ac:dyDescent="0.35">
      <c r="A829" s="16">
        <v>44498</v>
      </c>
      <c r="B829" t="s">
        <v>1</v>
      </c>
      <c r="C829" s="3">
        <v>19.467075000000001</v>
      </c>
      <c r="D829" s="8">
        <f>LOOKUP(EOMONTH(A829,0),Target_Prices!A$2:A$38,Target_Prices!I$2:I$38)</f>
        <v>20.0303</v>
      </c>
      <c r="E829">
        <f t="shared" si="27"/>
        <v>6.509064643153617E-2</v>
      </c>
      <c r="F829">
        <f t="shared" si="26"/>
        <v>2.893218421360164E-2</v>
      </c>
    </row>
    <row r="830" spans="1:6" x14ac:dyDescent="0.35">
      <c r="A830" s="15">
        <v>44530</v>
      </c>
      <c r="B830" t="s">
        <v>1</v>
      </c>
      <c r="C830" s="4">
        <v>18.241790000000002</v>
      </c>
      <c r="D830" s="8">
        <f>LOOKUP(EOMONTH(A830,0),Target_Prices!A$2:A$38,Target_Prices!I$2:I$38)</f>
        <v>20.0303</v>
      </c>
      <c r="E830">
        <f t="shared" si="27"/>
        <v>-6.2941402342159725E-2</v>
      </c>
      <c r="F830">
        <f t="shared" si="26"/>
        <v>9.8044654609004842E-2</v>
      </c>
    </row>
    <row r="831" spans="1:6" x14ac:dyDescent="0.35">
      <c r="A831" s="16">
        <v>44561</v>
      </c>
      <c r="B831" t="s">
        <v>1</v>
      </c>
      <c r="C831" s="3">
        <v>19.640239999999999</v>
      </c>
      <c r="D831" s="8">
        <f>LOOKUP(EOMONTH(A831,0),Target_Prices!A$2:A$38,Target_Prices!I$2:I$38)</f>
        <v>20.910900000000002</v>
      </c>
      <c r="E831">
        <f t="shared" si="27"/>
        <v>7.6661884606718855E-2</v>
      </c>
      <c r="F831">
        <f t="shared" si="26"/>
        <v>6.4696765416308713E-2</v>
      </c>
    </row>
    <row r="832" spans="1:6" x14ac:dyDescent="0.35">
      <c r="A832" s="15">
        <v>44592</v>
      </c>
      <c r="B832" t="s">
        <v>1</v>
      </c>
      <c r="C832" s="4">
        <v>18.939883999999999</v>
      </c>
      <c r="D832" s="8">
        <f>LOOKUP(EOMONTH(A832,0),Target_Prices!A$2:A$38,Target_Prices!I$2:I$38)</f>
        <v>20.910900000000002</v>
      </c>
      <c r="E832">
        <f t="shared" si="27"/>
        <v>-3.5659238379979086E-2</v>
      </c>
      <c r="F832">
        <f t="shared" si="26"/>
        <v>0.10406695204680252</v>
      </c>
    </row>
    <row r="833" spans="1:6" x14ac:dyDescent="0.35">
      <c r="A833" s="16">
        <v>44620</v>
      </c>
      <c r="B833" t="s">
        <v>1</v>
      </c>
      <c r="C833" s="3">
        <v>20.361581999999999</v>
      </c>
      <c r="D833" s="8">
        <f>LOOKUP(EOMONTH(A833,0),Target_Prices!A$2:A$38,Target_Prices!I$2:I$38)</f>
        <v>20.910900000000002</v>
      </c>
      <c r="E833">
        <f t="shared" si="27"/>
        <v>7.5063712111436365E-2</v>
      </c>
      <c r="F833">
        <f t="shared" si="26"/>
        <v>2.6978159162682109E-2</v>
      </c>
    </row>
    <row r="834" spans="1:6" x14ac:dyDescent="0.35">
      <c r="A834" s="15">
        <v>44651</v>
      </c>
      <c r="B834" t="s">
        <v>1</v>
      </c>
      <c r="C834" s="4">
        <v>20.690805000000001</v>
      </c>
      <c r="D834" s="8">
        <f>LOOKUP(EOMONTH(A834,0),Target_Prices!A$2:A$38,Target_Prices!I$2:I$38)</f>
        <v>21.610299999999999</v>
      </c>
      <c r="E834">
        <f t="shared" si="27"/>
        <v>1.616883206815678E-2</v>
      </c>
      <c r="F834">
        <f t="shared" si="26"/>
        <v>4.4439788592082217E-2</v>
      </c>
    </row>
    <row r="835" spans="1:6" x14ac:dyDescent="0.35">
      <c r="A835" s="16">
        <v>44680</v>
      </c>
      <c r="B835" t="s">
        <v>1</v>
      </c>
      <c r="C835" s="3">
        <v>22.237089999999998</v>
      </c>
      <c r="D835" s="8">
        <f>LOOKUP(EOMONTH(A835,0),Target_Prices!A$2:A$38,Target_Prices!I$2:I$38)</f>
        <v>21.610299999999999</v>
      </c>
      <c r="E835">
        <f t="shared" si="27"/>
        <v>7.4732955049356287E-2</v>
      </c>
      <c r="F835">
        <f t="shared" ref="F835:F898" si="28">(D835-C835)/C835</f>
        <v>-2.8186691693922173E-2</v>
      </c>
    </row>
    <row r="836" spans="1:6" x14ac:dyDescent="0.35">
      <c r="A836" s="15">
        <v>44712</v>
      </c>
      <c r="B836" t="s">
        <v>1</v>
      </c>
      <c r="C836" s="4">
        <v>20.847156999999999</v>
      </c>
      <c r="D836" s="8">
        <f>LOOKUP(EOMONTH(A836,0),Target_Prices!A$2:A$38,Target_Prices!I$2:I$38)</f>
        <v>21.610299999999999</v>
      </c>
      <c r="E836">
        <f t="shared" si="27"/>
        <v>-6.2505165918742001E-2</v>
      </c>
      <c r="F836">
        <f t="shared" si="28"/>
        <v>3.660657422016822E-2</v>
      </c>
    </row>
    <row r="837" spans="1:6" x14ac:dyDescent="0.35">
      <c r="A837" s="16">
        <v>44742</v>
      </c>
      <c r="B837" t="s">
        <v>1</v>
      </c>
      <c r="C837" s="3">
        <v>18.772310000000001</v>
      </c>
      <c r="D837" s="8">
        <f>LOOKUP(EOMONTH(A837,0),Target_Prices!A$2:A$38,Target_Prices!I$2:I$38)</f>
        <v>22.201899999999998</v>
      </c>
      <c r="E837">
        <f t="shared" si="27"/>
        <v>-9.9526616506989352E-2</v>
      </c>
      <c r="F837">
        <f t="shared" si="28"/>
        <v>0.18269408506465093</v>
      </c>
    </row>
    <row r="838" spans="1:6" x14ac:dyDescent="0.35">
      <c r="A838" s="15">
        <v>44771</v>
      </c>
      <c r="B838" t="s">
        <v>1</v>
      </c>
      <c r="C838" s="4">
        <v>21.100172000000001</v>
      </c>
      <c r="D838" s="8">
        <f>LOOKUP(EOMONTH(A838,0),Target_Prices!A$2:A$38,Target_Prices!I$2:I$38)</f>
        <v>22.201899999999998</v>
      </c>
      <c r="E838">
        <f t="shared" ref="E838:E881" si="29">(C838/C837)-1</f>
        <v>0.12400509047634523</v>
      </c>
      <c r="F838">
        <f t="shared" si="28"/>
        <v>5.2214171524288894E-2</v>
      </c>
    </row>
    <row r="839" spans="1:6" x14ac:dyDescent="0.35">
      <c r="A839" s="16">
        <v>44804</v>
      </c>
      <c r="B839" t="s">
        <v>1</v>
      </c>
      <c r="C839" s="3">
        <v>19.122357999999998</v>
      </c>
      <c r="D839" s="8">
        <f>LOOKUP(EOMONTH(A839,0),Target_Prices!A$2:A$38,Target_Prices!I$2:I$38)</f>
        <v>22.201899999999998</v>
      </c>
      <c r="E839">
        <f t="shared" si="29"/>
        <v>-9.373449657187638E-2</v>
      </c>
      <c r="F839">
        <f t="shared" si="28"/>
        <v>0.16104405115728929</v>
      </c>
    </row>
    <row r="840" spans="1:6" x14ac:dyDescent="0.35">
      <c r="A840" s="15">
        <v>44834</v>
      </c>
      <c r="B840" t="s">
        <v>1</v>
      </c>
      <c r="C840" s="4">
        <v>17.405687</v>
      </c>
      <c r="D840" s="8">
        <f>LOOKUP(EOMONTH(A840,0),Target_Prices!A$2:A$38,Target_Prices!I$2:I$38)</f>
        <v>22.700099999999999</v>
      </c>
      <c r="E840">
        <f t="shared" si="29"/>
        <v>-8.9772976742721666E-2</v>
      </c>
      <c r="F840">
        <f t="shared" si="28"/>
        <v>0.30417719220160622</v>
      </c>
    </row>
    <row r="841" spans="1:6" x14ac:dyDescent="0.35">
      <c r="A841" s="16">
        <v>44865</v>
      </c>
      <c r="B841" t="s">
        <v>1</v>
      </c>
      <c r="C841" s="3">
        <v>18.126175</v>
      </c>
      <c r="D841" s="8">
        <f>LOOKUP(EOMONTH(A841,0),Target_Prices!A$2:A$38,Target_Prices!I$2:I$38)</f>
        <v>22.700099999999999</v>
      </c>
      <c r="E841">
        <f t="shared" si="29"/>
        <v>4.1393827201419819E-2</v>
      </c>
      <c r="F841">
        <f t="shared" si="28"/>
        <v>0.25233812428711511</v>
      </c>
    </row>
    <row r="842" spans="1:6" x14ac:dyDescent="0.35">
      <c r="A842" s="15">
        <v>44895</v>
      </c>
      <c r="B842" t="s">
        <v>1</v>
      </c>
      <c r="C842" s="4">
        <v>19.760624</v>
      </c>
      <c r="D842" s="8">
        <f>LOOKUP(EOMONTH(A842,0),Target_Prices!A$2:A$38,Target_Prices!I$2:I$38)</f>
        <v>22.700099999999999</v>
      </c>
      <c r="E842">
        <f t="shared" si="29"/>
        <v>9.0170651006072688E-2</v>
      </c>
      <c r="F842">
        <f t="shared" si="28"/>
        <v>0.14875420938124218</v>
      </c>
    </row>
    <row r="843" spans="1:6" x14ac:dyDescent="0.35">
      <c r="A843" s="16">
        <v>44925</v>
      </c>
      <c r="B843" t="s">
        <v>1</v>
      </c>
      <c r="C843" s="3">
        <v>19.295994</v>
      </c>
      <c r="D843" s="8">
        <f>LOOKUP(EOMONTH(A843,0),Target_Prices!A$2:A$38,Target_Prices!I$2:I$38)</f>
        <v>22.477599999999999</v>
      </c>
      <c r="E843">
        <f t="shared" si="29"/>
        <v>-2.3512921454302282E-2</v>
      </c>
      <c r="F843">
        <f t="shared" si="28"/>
        <v>0.16488427597977065</v>
      </c>
    </row>
    <row r="844" spans="1:6" x14ac:dyDescent="0.35">
      <c r="A844" s="15">
        <v>44957</v>
      </c>
      <c r="B844" t="s">
        <v>1</v>
      </c>
      <c r="C844" s="4">
        <v>19.536860999999998</v>
      </c>
      <c r="D844" s="8">
        <f>LOOKUP(EOMONTH(A844,0),Target_Prices!A$2:A$38,Target_Prices!I$2:I$38)</f>
        <v>22.477599999999999</v>
      </c>
      <c r="E844">
        <f t="shared" si="29"/>
        <v>1.2482746418764235E-2</v>
      </c>
      <c r="F844">
        <f t="shared" si="28"/>
        <v>0.15052259418746958</v>
      </c>
    </row>
    <row r="845" spans="1:6" x14ac:dyDescent="0.35">
      <c r="A845" s="16">
        <v>44985</v>
      </c>
      <c r="B845" t="s">
        <v>1</v>
      </c>
      <c r="C845" s="3">
        <v>19.926352000000001</v>
      </c>
      <c r="D845" s="8">
        <f>LOOKUP(EOMONTH(A845,0),Target_Prices!A$2:A$38,Target_Prices!I$2:I$38)</f>
        <v>22.477599999999999</v>
      </c>
      <c r="E845">
        <f t="shared" si="29"/>
        <v>1.9936211861260711E-2</v>
      </c>
      <c r="F845">
        <f t="shared" si="28"/>
        <v>0.12803387192999488</v>
      </c>
    </row>
    <row r="846" spans="1:6" x14ac:dyDescent="0.35">
      <c r="A846" s="15">
        <v>45016</v>
      </c>
      <c r="B846" t="s">
        <v>1</v>
      </c>
      <c r="C846" s="4">
        <v>20.519302</v>
      </c>
      <c r="D846" s="8">
        <f>LOOKUP(EOMONTH(A846,0),Target_Prices!A$2:A$38,Target_Prices!I$2:I$38)</f>
        <v>23.157599999999999</v>
      </c>
      <c r="E846">
        <f t="shared" si="29"/>
        <v>2.9757077462046144E-2</v>
      </c>
      <c r="F846">
        <f t="shared" si="28"/>
        <v>0.12857640089316874</v>
      </c>
    </row>
    <row r="847" spans="1:6" x14ac:dyDescent="0.35">
      <c r="A847" s="16">
        <v>45044</v>
      </c>
      <c r="B847" t="s">
        <v>1</v>
      </c>
      <c r="C847" s="3">
        <v>20.919872000000002</v>
      </c>
      <c r="D847" s="8">
        <f>LOOKUP(EOMONTH(A847,0),Target_Prices!A$2:A$38,Target_Prices!I$2:I$38)</f>
        <v>23.157599999999999</v>
      </c>
      <c r="E847">
        <f t="shared" si="29"/>
        <v>1.95216192051757E-2</v>
      </c>
      <c r="F847">
        <f t="shared" si="28"/>
        <v>0.10696662006344956</v>
      </c>
    </row>
    <row r="848" spans="1:6" x14ac:dyDescent="0.35">
      <c r="A848" s="15">
        <v>45077</v>
      </c>
      <c r="B848" t="s">
        <v>1</v>
      </c>
      <c r="C848" s="4">
        <v>21.873474000000002</v>
      </c>
      <c r="D848" s="8">
        <f>LOOKUP(EOMONTH(A848,0),Target_Prices!A$2:A$38,Target_Prices!I$2:I$38)</f>
        <v>23.157599999999999</v>
      </c>
      <c r="E848">
        <f t="shared" si="29"/>
        <v>4.5583548503547178E-2</v>
      </c>
      <c r="F848">
        <f t="shared" si="28"/>
        <v>5.8706998257341145E-2</v>
      </c>
    </row>
    <row r="849" spans="1:6" x14ac:dyDescent="0.35">
      <c r="A849" s="16">
        <v>45107</v>
      </c>
      <c r="B849" t="s">
        <v>1</v>
      </c>
      <c r="C849" s="3">
        <v>21.453302000000001</v>
      </c>
      <c r="D849" s="8">
        <f>LOOKUP(EOMONTH(A849,0),Target_Prices!A$2:A$38,Target_Prices!I$2:I$38)</f>
        <v>24.736000000000001</v>
      </c>
      <c r="E849">
        <f t="shared" si="29"/>
        <v>-1.920920289113659E-2</v>
      </c>
      <c r="F849">
        <f t="shared" si="28"/>
        <v>0.15301597861252314</v>
      </c>
    </row>
    <row r="850" spans="1:6" x14ac:dyDescent="0.35">
      <c r="A850" s="15">
        <v>45138</v>
      </c>
      <c r="B850" t="s">
        <v>1</v>
      </c>
      <c r="C850" s="4">
        <v>19.66939</v>
      </c>
      <c r="D850" s="8">
        <f>LOOKUP(EOMONTH(A850,0),Target_Prices!A$2:A$38,Target_Prices!I$2:I$38)</f>
        <v>24.736000000000001</v>
      </c>
      <c r="E850">
        <f t="shared" si="29"/>
        <v>-8.3153260043605459E-2</v>
      </c>
      <c r="F850">
        <f t="shared" si="28"/>
        <v>0.25758856782035439</v>
      </c>
    </row>
    <row r="851" spans="1:6" x14ac:dyDescent="0.35">
      <c r="A851" s="16">
        <v>45169</v>
      </c>
      <c r="B851" t="s">
        <v>1</v>
      </c>
      <c r="C851" s="3">
        <v>18.989445</v>
      </c>
      <c r="D851" s="8">
        <f>LOOKUP(EOMONTH(A851,0),Target_Prices!A$2:A$38,Target_Prices!I$2:I$38)</f>
        <v>24.736000000000001</v>
      </c>
      <c r="E851">
        <f t="shared" si="29"/>
        <v>-3.4568687691890809E-2</v>
      </c>
      <c r="F851">
        <f t="shared" si="28"/>
        <v>0.30261837562919824</v>
      </c>
    </row>
    <row r="852" spans="1:6" x14ac:dyDescent="0.35">
      <c r="A852" s="15">
        <v>45198</v>
      </c>
      <c r="B852" t="s">
        <v>1</v>
      </c>
      <c r="C852" s="4">
        <v>18.560428999999999</v>
      </c>
      <c r="D852" s="8">
        <f>LOOKUP(EOMONTH(A852,0),Target_Prices!A$2:A$38,Target_Prices!I$2:I$38)</f>
        <v>24.477499999999999</v>
      </c>
      <c r="E852">
        <f t="shared" si="29"/>
        <v>-2.2592340113152365E-2</v>
      </c>
      <c r="F852">
        <f t="shared" si="28"/>
        <v>0.31880033591895962</v>
      </c>
    </row>
    <row r="853" spans="1:6" x14ac:dyDescent="0.35">
      <c r="A853" s="16">
        <v>45230</v>
      </c>
      <c r="B853" t="s">
        <v>1</v>
      </c>
      <c r="C853" s="3">
        <v>18.747057000000002</v>
      </c>
      <c r="D853" s="8">
        <f>LOOKUP(EOMONTH(A853,0),Target_Prices!A$2:A$38,Target_Prices!I$2:I$38)</f>
        <v>24.477499999999999</v>
      </c>
      <c r="E853">
        <f t="shared" si="29"/>
        <v>1.0055155513916336E-2</v>
      </c>
      <c r="F853">
        <f t="shared" si="28"/>
        <v>0.30567160488176875</v>
      </c>
    </row>
    <row r="854" spans="1:6" x14ac:dyDescent="0.35">
      <c r="A854" s="15">
        <v>45260</v>
      </c>
      <c r="B854" t="s">
        <v>1</v>
      </c>
      <c r="C854" s="4">
        <v>21.261602</v>
      </c>
      <c r="D854" s="8">
        <f>LOOKUP(EOMONTH(A854,0),Target_Prices!A$2:A$38,Target_Prices!I$2:I$38)</f>
        <v>24.477499999999999</v>
      </c>
      <c r="E854">
        <f t="shared" si="29"/>
        <v>0.13413011973025935</v>
      </c>
      <c r="F854">
        <f t="shared" si="28"/>
        <v>0.15125379545718143</v>
      </c>
    </row>
    <row r="855" spans="1:6" x14ac:dyDescent="0.35">
      <c r="A855" s="16">
        <v>45289</v>
      </c>
      <c r="B855" t="s">
        <v>1</v>
      </c>
      <c r="C855" s="3">
        <v>21.418811999999999</v>
      </c>
      <c r="D855" s="8">
        <f>LOOKUP(EOMONTH(A855,0),Target_Prices!A$2:A$38,Target_Prices!I$2:I$38)</f>
        <v>24.754000000000001</v>
      </c>
      <c r="E855">
        <f t="shared" si="29"/>
        <v>7.3940806530006231E-3</v>
      </c>
      <c r="F855">
        <f t="shared" si="28"/>
        <v>0.15571302460659361</v>
      </c>
    </row>
    <row r="856" spans="1:6" x14ac:dyDescent="0.35">
      <c r="A856" s="15">
        <v>45322</v>
      </c>
      <c r="B856" t="s">
        <v>1</v>
      </c>
      <c r="C856" s="4">
        <v>19.753862000000002</v>
      </c>
      <c r="D856" s="8">
        <f>LOOKUP(EOMONTH(A856,0),Target_Prices!A$2:A$38,Target_Prices!I$2:I$38)</f>
        <v>24.754000000000001</v>
      </c>
      <c r="E856">
        <f t="shared" si="29"/>
        <v>-7.773306941580127E-2</v>
      </c>
      <c r="F856">
        <f t="shared" si="28"/>
        <v>0.25312204772919844</v>
      </c>
    </row>
    <row r="857" spans="1:6" x14ac:dyDescent="0.35">
      <c r="A857" s="16">
        <v>45351</v>
      </c>
      <c r="B857" t="s">
        <v>1</v>
      </c>
      <c r="C857" s="3">
        <v>19.000843</v>
      </c>
      <c r="D857" s="8">
        <f>LOOKUP(EOMONTH(A857,0),Target_Prices!A$2:A$38,Target_Prices!I$2:I$38)</f>
        <v>24.754000000000001</v>
      </c>
      <c r="E857">
        <f t="shared" si="29"/>
        <v>-3.8120090137310991E-2</v>
      </c>
      <c r="F857">
        <f t="shared" si="28"/>
        <v>0.30278430278067148</v>
      </c>
    </row>
    <row r="858" spans="1:6" x14ac:dyDescent="0.35">
      <c r="A858" s="15">
        <v>45380</v>
      </c>
      <c r="B858" t="s">
        <v>1</v>
      </c>
      <c r="C858" s="4">
        <v>19.299654</v>
      </c>
      <c r="D858" s="8">
        <f>LOOKUP(EOMONTH(A858,0),Target_Prices!A$2:A$38,Target_Prices!I$2:I$38)</f>
        <v>24.2029</v>
      </c>
      <c r="E858">
        <f t="shared" si="29"/>
        <v>1.5726196990312413E-2</v>
      </c>
      <c r="F858">
        <f t="shared" si="28"/>
        <v>0.25405875151958679</v>
      </c>
    </row>
    <row r="859" spans="1:6" x14ac:dyDescent="0.35">
      <c r="A859" s="16">
        <v>45412</v>
      </c>
      <c r="B859" t="s">
        <v>1</v>
      </c>
      <c r="C859" s="3">
        <v>19.515623000000001</v>
      </c>
      <c r="D859" s="8">
        <f>LOOKUP(EOMONTH(A859,0),Target_Prices!A$2:A$38,Target_Prices!I$2:I$38)</f>
        <v>24.2029</v>
      </c>
      <c r="E859">
        <f t="shared" si="29"/>
        <v>1.1190304240687565E-2</v>
      </c>
      <c r="F859">
        <f t="shared" si="28"/>
        <v>0.24018075159578547</v>
      </c>
    </row>
    <row r="860" spans="1:6" x14ac:dyDescent="0.35">
      <c r="A860" s="15">
        <v>45443</v>
      </c>
      <c r="B860" t="s">
        <v>1</v>
      </c>
      <c r="C860" s="4">
        <v>20.582773</v>
      </c>
      <c r="D860" s="8">
        <f>LOOKUP(EOMONTH(A860,0),Target_Prices!A$2:A$38,Target_Prices!I$2:I$38)</f>
        <v>24.2029</v>
      </c>
      <c r="E860">
        <f t="shared" si="29"/>
        <v>5.4681831064270714E-2</v>
      </c>
      <c r="F860">
        <f t="shared" si="28"/>
        <v>0.17588140334638097</v>
      </c>
    </row>
    <row r="861" spans="1:6" x14ac:dyDescent="0.35">
      <c r="A861" s="16">
        <v>45471</v>
      </c>
      <c r="B861" t="s">
        <v>1</v>
      </c>
      <c r="C861" s="3">
        <v>21.106667000000002</v>
      </c>
      <c r="D861" s="8">
        <f>LOOKUP(EOMONTH(A861,0),Target_Prices!A$2:A$38,Target_Prices!I$2:I$38)</f>
        <v>24.819299999999998</v>
      </c>
      <c r="E861">
        <f t="shared" si="29"/>
        <v>2.5453032980541579E-2</v>
      </c>
      <c r="F861">
        <f t="shared" si="28"/>
        <v>0.17589859166300376</v>
      </c>
    </row>
    <row r="862" spans="1:6" x14ac:dyDescent="0.35">
      <c r="A862" s="15">
        <v>45504</v>
      </c>
      <c r="B862" t="s">
        <v>1</v>
      </c>
      <c r="C862" s="4">
        <v>22.321490000000001</v>
      </c>
      <c r="D862" s="8">
        <f>LOOKUP(EOMONTH(A862,0),Target_Prices!A$2:A$38,Target_Prices!I$2:I$38)</f>
        <v>24.819299999999998</v>
      </c>
      <c r="E862">
        <f t="shared" si="29"/>
        <v>5.7556363588812998E-2</v>
      </c>
      <c r="F862">
        <f t="shared" si="28"/>
        <v>0.11190158004685161</v>
      </c>
    </row>
    <row r="863" spans="1:6" x14ac:dyDescent="0.35">
      <c r="A863" s="16">
        <v>45534</v>
      </c>
      <c r="B863" t="s">
        <v>1</v>
      </c>
      <c r="C863" s="3">
        <v>22.404820999999998</v>
      </c>
      <c r="D863" s="8">
        <f>LOOKUP(EOMONTH(A863,0),Target_Prices!A$2:A$38,Target_Prices!I$2:I$38)</f>
        <v>24.819299999999998</v>
      </c>
      <c r="E863">
        <f t="shared" si="29"/>
        <v>3.7332185261824691E-3</v>
      </c>
      <c r="F863">
        <f t="shared" si="28"/>
        <v>0.1077660473163343</v>
      </c>
    </row>
    <row r="864" spans="1:6" x14ac:dyDescent="0.35">
      <c r="A864" s="15">
        <v>45565</v>
      </c>
      <c r="B864" t="s">
        <v>1</v>
      </c>
      <c r="C864" s="4">
        <v>22.631264000000002</v>
      </c>
      <c r="D864" s="8">
        <f>LOOKUP(EOMONTH(A864,0),Target_Prices!A$2:A$38,Target_Prices!I$2:I$38)</f>
        <v>26.239899999999999</v>
      </c>
      <c r="E864">
        <f t="shared" si="29"/>
        <v>1.010688726323683E-2</v>
      </c>
      <c r="F864">
        <f t="shared" si="28"/>
        <v>0.1594535771400129</v>
      </c>
    </row>
    <row r="865" spans="1:6" x14ac:dyDescent="0.35">
      <c r="A865" s="16">
        <v>45596</v>
      </c>
      <c r="B865" t="s">
        <v>1</v>
      </c>
      <c r="C865" s="3">
        <v>20.854140999999998</v>
      </c>
      <c r="D865" s="8">
        <f>LOOKUP(EOMONTH(A865,0),Target_Prices!A$2:A$38,Target_Prices!I$2:I$38)</f>
        <v>26.239899999999999</v>
      </c>
      <c r="E865">
        <f t="shared" si="29"/>
        <v>-7.8525132312539103E-2</v>
      </c>
      <c r="F865">
        <f t="shared" si="28"/>
        <v>0.25825849168277898</v>
      </c>
    </row>
    <row r="866" spans="1:6" x14ac:dyDescent="0.35">
      <c r="A866" s="15">
        <v>45625</v>
      </c>
      <c r="B866" t="s">
        <v>1</v>
      </c>
      <c r="C866" s="4">
        <v>21.318549999999998</v>
      </c>
      <c r="D866" s="8">
        <f>LOOKUP(EOMONTH(A866,0),Target_Prices!A$2:A$38,Target_Prices!I$2:I$38)</f>
        <v>26.239899999999999</v>
      </c>
      <c r="E866">
        <f t="shared" si="29"/>
        <v>2.2269390045842608E-2</v>
      </c>
      <c r="F866">
        <f t="shared" si="28"/>
        <v>0.23084825187454122</v>
      </c>
    </row>
    <row r="867" spans="1:6" x14ac:dyDescent="0.35">
      <c r="A867" s="16">
        <v>45657</v>
      </c>
      <c r="B867" t="s">
        <v>1</v>
      </c>
      <c r="C867" s="3">
        <v>19.399805000000001</v>
      </c>
      <c r="D867" s="8">
        <f>LOOKUP(EOMONTH(A867,0),Target_Prices!A$2:A$38,Target_Prices!I$2:I$38)</f>
        <v>26.163900000000002</v>
      </c>
      <c r="E867">
        <f t="shared" si="29"/>
        <v>-9.0003541516660235E-2</v>
      </c>
      <c r="F867">
        <f t="shared" si="28"/>
        <v>0.3486681953761907</v>
      </c>
    </row>
    <row r="868" spans="1:6" x14ac:dyDescent="0.35">
      <c r="A868" s="15">
        <v>45688</v>
      </c>
      <c r="B868" t="s">
        <v>1</v>
      </c>
      <c r="C868" s="4">
        <v>19.500941999999998</v>
      </c>
      <c r="D868" s="8">
        <f>LOOKUP(EOMONTH(A868,0),Target_Prices!A$2:A$38,Target_Prices!I$2:I$38)</f>
        <v>26.163900000000002</v>
      </c>
      <c r="E868">
        <f t="shared" si="29"/>
        <v>5.2132998244054374E-3</v>
      </c>
      <c r="F868">
        <f t="shared" si="28"/>
        <v>0.34167364838067843</v>
      </c>
    </row>
    <row r="869" spans="1:6" x14ac:dyDescent="0.35">
      <c r="A869" s="16">
        <v>45716</v>
      </c>
      <c r="B869" t="s">
        <v>1</v>
      </c>
      <c r="C869" s="3">
        <v>18.499818999999999</v>
      </c>
      <c r="D869" s="8">
        <f>LOOKUP(EOMONTH(A869,0),Target_Prices!A$2:A$38,Target_Prices!I$2:I$38)</f>
        <v>26.163900000000002</v>
      </c>
      <c r="E869">
        <f t="shared" si="29"/>
        <v>-5.1337161045861279E-2</v>
      </c>
      <c r="F869">
        <f t="shared" si="28"/>
        <v>0.41427870186189408</v>
      </c>
    </row>
    <row r="870" spans="1:6" x14ac:dyDescent="0.35">
      <c r="A870" s="15">
        <v>45747</v>
      </c>
      <c r="B870" t="s">
        <v>1</v>
      </c>
      <c r="C870" s="4">
        <v>19.046986</v>
      </c>
      <c r="D870" s="8">
        <f>LOOKUP(EOMONTH(A870,0),Target_Prices!A$2:A$38,Target_Prices!I$2:I$38)</f>
        <v>24.575199999999999</v>
      </c>
      <c r="E870">
        <f t="shared" si="29"/>
        <v>2.9576883968432499E-2</v>
      </c>
      <c r="F870">
        <f t="shared" si="28"/>
        <v>0.29024088115568514</v>
      </c>
    </row>
    <row r="871" spans="1:6" x14ac:dyDescent="0.35">
      <c r="A871" s="16">
        <v>45777</v>
      </c>
      <c r="B871" t="s">
        <v>1</v>
      </c>
      <c r="C871" s="3">
        <v>19.881278999999999</v>
      </c>
      <c r="D871" s="8">
        <f>LOOKUP(EOMONTH(A871,0),Target_Prices!A$2:A$38,Target_Prices!I$2:I$38)</f>
        <v>24.575199999999999</v>
      </c>
      <c r="E871">
        <f t="shared" si="29"/>
        <v>4.3801838254094339E-2</v>
      </c>
      <c r="F871">
        <f t="shared" si="28"/>
        <v>0.23609753678322204</v>
      </c>
    </row>
    <row r="872" spans="1:6" x14ac:dyDescent="0.35">
      <c r="A872" s="15">
        <v>45807</v>
      </c>
      <c r="B872" t="s">
        <v>1</v>
      </c>
      <c r="C872" s="4">
        <v>20.918710000000001</v>
      </c>
      <c r="D872" s="8">
        <f>LOOKUP(EOMONTH(A872,0),Target_Prices!A$2:A$38,Target_Prices!I$2:I$38)</f>
        <v>24.575199999999999</v>
      </c>
      <c r="E872">
        <f t="shared" si="29"/>
        <v>5.2181300810677289E-2</v>
      </c>
      <c r="F872">
        <f t="shared" si="28"/>
        <v>0.1747951953060202</v>
      </c>
    </row>
    <row r="873" spans="1:6" x14ac:dyDescent="0.35">
      <c r="A873" s="16">
        <v>45838</v>
      </c>
      <c r="B873" t="s">
        <v>1</v>
      </c>
      <c r="C873" s="3">
        <v>21.375053000000001</v>
      </c>
      <c r="D873" s="8">
        <f>LOOKUP(EOMONTH(A873,0),Target_Prices!A$2:A$38,Target_Prices!I$2:I$38)</f>
        <v>24.311499999999999</v>
      </c>
      <c r="E873">
        <f t="shared" si="29"/>
        <v>2.1815064122022942E-2</v>
      </c>
      <c r="F873">
        <f t="shared" si="28"/>
        <v>0.1373772967954745</v>
      </c>
    </row>
    <row r="874" spans="1:6" x14ac:dyDescent="0.35">
      <c r="A874" s="15">
        <v>45869</v>
      </c>
      <c r="B874" t="s">
        <v>1</v>
      </c>
      <c r="C874" s="4">
        <v>21.372702</v>
      </c>
      <c r="D874" s="8">
        <f>LOOKUP(EOMONTH(A874,0),Target_Prices!A$2:A$38,Target_Prices!I$2:I$38)</f>
        <v>24.311499999999999</v>
      </c>
      <c r="E874">
        <f t="shared" si="29"/>
        <v>-1.0998803137474145E-4</v>
      </c>
      <c r="F874">
        <f t="shared" si="28"/>
        <v>0.13750240844606351</v>
      </c>
    </row>
    <row r="875" spans="1:6" x14ac:dyDescent="0.35">
      <c r="A875" s="16">
        <v>45898</v>
      </c>
      <c r="B875" t="s">
        <v>1</v>
      </c>
      <c r="C875" s="3">
        <v>19.968529</v>
      </c>
      <c r="D875" s="8">
        <f>LOOKUP(EOMONTH(A875,0),Target_Prices!A$2:A$38,Target_Prices!I$2:I$38)</f>
        <v>24.311499999999999</v>
      </c>
      <c r="E875">
        <f t="shared" si="29"/>
        <v>-6.5699367351867877E-2</v>
      </c>
      <c r="F875">
        <f t="shared" si="28"/>
        <v>0.21749078262099319</v>
      </c>
    </row>
    <row r="876" spans="1:6" x14ac:dyDescent="0.35">
      <c r="A876" s="15">
        <v>45930</v>
      </c>
      <c r="B876" t="s">
        <v>1</v>
      </c>
      <c r="C876" s="4">
        <v>19.953144000000002</v>
      </c>
      <c r="D876" s="8">
        <f>LOOKUP(EOMONTH(A876,0),Target_Prices!A$2:A$38,Target_Prices!I$2:I$38)</f>
        <v>25.7438</v>
      </c>
      <c r="E876">
        <f t="shared" si="29"/>
        <v>-7.7046236104816312E-4</v>
      </c>
      <c r="F876">
        <f t="shared" si="28"/>
        <v>0.29021271033777923</v>
      </c>
    </row>
    <row r="877" spans="1:6" x14ac:dyDescent="0.35">
      <c r="A877" s="16">
        <v>45961</v>
      </c>
      <c r="B877" t="s">
        <v>1</v>
      </c>
      <c r="C877" s="3">
        <v>21.810227999999999</v>
      </c>
      <c r="D877" s="8">
        <f>LOOKUP(EOMONTH(A877,0),Target_Prices!A$2:A$38,Target_Prices!I$2:I$38)</f>
        <v>25.7438</v>
      </c>
      <c r="E877">
        <f t="shared" si="29"/>
        <v>9.3072249666518614E-2</v>
      </c>
      <c r="F877">
        <f t="shared" si="28"/>
        <v>0.18035446488684126</v>
      </c>
    </row>
    <row r="878" spans="1:6" x14ac:dyDescent="0.35">
      <c r="A878" s="15">
        <v>45989</v>
      </c>
      <c r="B878" t="s">
        <v>1</v>
      </c>
      <c r="C878" s="4">
        <v>25.094566</v>
      </c>
      <c r="D878" s="8">
        <f>LOOKUP(EOMONTH(A878,0),Target_Prices!A$2:A$38,Target_Prices!I$2:I$38)</f>
        <v>25.7438</v>
      </c>
      <c r="E878">
        <f t="shared" si="29"/>
        <v>0.15058705484417678</v>
      </c>
      <c r="F878">
        <f t="shared" si="28"/>
        <v>2.587149743892761E-2</v>
      </c>
    </row>
    <row r="879" spans="1:6" x14ac:dyDescent="0.35">
      <c r="A879" s="16">
        <v>46022</v>
      </c>
      <c r="B879" t="s">
        <v>1</v>
      </c>
      <c r="C879" s="3">
        <v>24.955202</v>
      </c>
      <c r="D879" s="8">
        <f>LOOKUP(EOMONTH(A879,0),Target_Prices!A$2:A$38,Target_Prices!I$2:I$38)</f>
        <v>28.206</v>
      </c>
      <c r="E879">
        <f t="shared" si="29"/>
        <v>-5.5535529086256918E-3</v>
      </c>
      <c r="F879">
        <f t="shared" si="28"/>
        <v>0.13026534507715062</v>
      </c>
    </row>
    <row r="880" spans="1:6" x14ac:dyDescent="0.35">
      <c r="A880" s="15">
        <v>46052</v>
      </c>
      <c r="B880" t="s">
        <v>1</v>
      </c>
      <c r="C880" s="4">
        <v>27.937539999999998</v>
      </c>
      <c r="D880" s="8">
        <f>LOOKUP(EOMONTH(A880,0),Target_Prices!A$2:A$38,Target_Prices!I$2:I$38)</f>
        <v>28.206</v>
      </c>
      <c r="E880">
        <f t="shared" si="29"/>
        <v>0.11950766818076652</v>
      </c>
      <c r="F880">
        <f t="shared" si="28"/>
        <v>9.609292729424318E-3</v>
      </c>
    </row>
    <row r="881" spans="1:6" s="11" customFormat="1" x14ac:dyDescent="0.35">
      <c r="A881" s="15">
        <v>46080</v>
      </c>
      <c r="B881" s="11" t="s">
        <v>1</v>
      </c>
      <c r="C881" s="12">
        <v>30.619344999999999</v>
      </c>
      <c r="D881" s="14">
        <f>LOOKUP(EOMONTH(A881,0),Target_Prices!A$2:A$38,Target_Prices!I$2:I$38)</f>
        <v>28.206</v>
      </c>
      <c r="E881">
        <f t="shared" si="29"/>
        <v>9.5992882694754034E-2</v>
      </c>
      <c r="F881">
        <f t="shared" si="28"/>
        <v>-7.8817655962268293E-2</v>
      </c>
    </row>
    <row r="882" spans="1:6" x14ac:dyDescent="0.35">
      <c r="A882" s="15">
        <v>42766</v>
      </c>
      <c r="B882" t="s">
        <v>2</v>
      </c>
      <c r="C882" s="4">
        <v>2.6270980000000002</v>
      </c>
      <c r="D882" s="8">
        <f>LOOKUP(EOMONTH(A882,0),Target_Prices!A$2:A$38,Target_Prices!J$2:J$38)</f>
        <v>3.1546400000000001</v>
      </c>
      <c r="F882">
        <f t="shared" si="28"/>
        <v>0.20080788763875573</v>
      </c>
    </row>
    <row r="883" spans="1:6" x14ac:dyDescent="0.35">
      <c r="A883" s="16">
        <v>42794</v>
      </c>
      <c r="B883" t="s">
        <v>2</v>
      </c>
      <c r="C883" s="3">
        <v>2.8528644999999999</v>
      </c>
      <c r="D883" s="8">
        <f>LOOKUP(EOMONTH(A883,0),Target_Prices!A$2:A$38,Target_Prices!J$2:J$38)</f>
        <v>3.1546400000000001</v>
      </c>
      <c r="E883">
        <f>(C883/C882)-1</f>
        <v>8.5937601109665307E-2</v>
      </c>
      <c r="F883">
        <f t="shared" si="28"/>
        <v>0.10577982235048325</v>
      </c>
    </row>
    <row r="884" spans="1:6" x14ac:dyDescent="0.35">
      <c r="A884" s="15">
        <v>42825</v>
      </c>
      <c r="B884" t="s">
        <v>2</v>
      </c>
      <c r="C884" s="4">
        <v>3.1030639999999998</v>
      </c>
      <c r="D884" s="8">
        <f>LOOKUP(EOMONTH(A884,0),Target_Prices!A$2:A$38,Target_Prices!J$2:J$38)</f>
        <v>3.1721699999999999</v>
      </c>
      <c r="E884">
        <f t="shared" ref="E884:E947" si="30">(C884/C883)-1</f>
        <v>8.7701150895880264E-2</v>
      </c>
      <c r="F884">
        <f t="shared" si="28"/>
        <v>2.2270246440292601E-2</v>
      </c>
    </row>
    <row r="885" spans="1:6" x14ac:dyDescent="0.35">
      <c r="A885" s="16">
        <v>42853</v>
      </c>
      <c r="B885" t="s">
        <v>2</v>
      </c>
      <c r="C885" s="3">
        <v>2.9613491999999999</v>
      </c>
      <c r="D885" s="8">
        <f>LOOKUP(EOMONTH(A885,0),Target_Prices!A$2:A$38,Target_Prices!J$2:J$38)</f>
        <v>3.1721699999999999</v>
      </c>
      <c r="E885">
        <f t="shared" si="30"/>
        <v>-4.5669312653557892E-2</v>
      </c>
      <c r="F885">
        <f t="shared" si="28"/>
        <v>7.1190793709840106E-2</v>
      </c>
    </row>
    <row r="886" spans="1:6" x14ac:dyDescent="0.35">
      <c r="A886" s="15">
        <v>42886</v>
      </c>
      <c r="B886" t="s">
        <v>2</v>
      </c>
      <c r="C886" s="4">
        <v>3.199821</v>
      </c>
      <c r="D886" s="8">
        <f>LOOKUP(EOMONTH(A886,0),Target_Prices!A$2:A$38,Target_Prices!J$2:J$38)</f>
        <v>3.1721699999999999</v>
      </c>
      <c r="E886">
        <f t="shared" si="30"/>
        <v>8.0528091722516182E-2</v>
      </c>
      <c r="F886">
        <f t="shared" si="28"/>
        <v>-8.6414208794804749E-3</v>
      </c>
    </row>
    <row r="887" spans="1:6" x14ac:dyDescent="0.35">
      <c r="A887" s="16">
        <v>42916</v>
      </c>
      <c r="B887" t="s">
        <v>2</v>
      </c>
      <c r="C887" s="3">
        <v>2.798133</v>
      </c>
      <c r="D887" s="8">
        <f>LOOKUP(EOMONTH(A887,0),Target_Prices!A$2:A$38,Target_Prices!J$2:J$38)</f>
        <v>3.1651899999999999</v>
      </c>
      <c r="E887">
        <f t="shared" si="30"/>
        <v>-0.12553452208732929</v>
      </c>
      <c r="F887">
        <f t="shared" si="28"/>
        <v>0.1311792541669749</v>
      </c>
    </row>
    <row r="888" spans="1:6" x14ac:dyDescent="0.35">
      <c r="A888" s="15">
        <v>42947</v>
      </c>
      <c r="B888" t="s">
        <v>2</v>
      </c>
      <c r="C888" s="4">
        <v>2.932029</v>
      </c>
      <c r="D888" s="8">
        <f>LOOKUP(EOMONTH(A888,0),Target_Prices!A$2:A$38,Target_Prices!J$2:J$38)</f>
        <v>3.1651899999999999</v>
      </c>
      <c r="E888">
        <f t="shared" si="30"/>
        <v>4.7851906967967484E-2</v>
      </c>
      <c r="F888">
        <f t="shared" si="28"/>
        <v>7.9522064754475472E-2</v>
      </c>
    </row>
    <row r="889" spans="1:6" x14ac:dyDescent="0.35">
      <c r="A889" s="16">
        <v>42978</v>
      </c>
      <c r="B889" t="s">
        <v>2</v>
      </c>
      <c r="C889" s="3">
        <v>3.1519309999999998</v>
      </c>
      <c r="D889" s="8">
        <f>LOOKUP(EOMONTH(A889,0),Target_Prices!A$2:A$38,Target_Prices!J$2:J$38)</f>
        <v>3.1651899999999999</v>
      </c>
      <c r="E889">
        <f t="shared" si="30"/>
        <v>7.4999940314369296E-2</v>
      </c>
      <c r="F889">
        <f t="shared" si="28"/>
        <v>4.2066276197036461E-3</v>
      </c>
    </row>
    <row r="890" spans="1:6" x14ac:dyDescent="0.35">
      <c r="A890" s="15">
        <v>43007</v>
      </c>
      <c r="B890" t="s">
        <v>2</v>
      </c>
      <c r="C890" s="4">
        <v>3.1128376000000002</v>
      </c>
      <c r="D890" s="8">
        <f>LOOKUP(EOMONTH(A890,0),Target_Prices!A$2:A$38,Target_Prices!J$2:J$38)</f>
        <v>3.1331500000000001</v>
      </c>
      <c r="E890">
        <f t="shared" si="30"/>
        <v>-1.2402999938767589E-2</v>
      </c>
      <c r="F890">
        <f t="shared" si="28"/>
        <v>6.5253645098606802E-3</v>
      </c>
    </row>
    <row r="891" spans="1:6" x14ac:dyDescent="0.35">
      <c r="A891" s="16">
        <v>43039</v>
      </c>
      <c r="B891" t="s">
        <v>2</v>
      </c>
      <c r="C891" s="3">
        <v>2.9936015999999999</v>
      </c>
      <c r="D891" s="8">
        <f>LOOKUP(EOMONTH(A891,0),Target_Prices!A$2:A$38,Target_Prices!J$2:J$38)</f>
        <v>3.1331500000000001</v>
      </c>
      <c r="E891">
        <f t="shared" si="30"/>
        <v>-3.8304600278536993E-2</v>
      </c>
      <c r="F891">
        <f t="shared" si="28"/>
        <v>4.6615554989013985E-2</v>
      </c>
    </row>
    <row r="892" spans="1:6" x14ac:dyDescent="0.35">
      <c r="A892" s="15">
        <v>43069</v>
      </c>
      <c r="B892" t="s">
        <v>2</v>
      </c>
      <c r="C892" s="4">
        <v>2.8782752</v>
      </c>
      <c r="D892" s="8">
        <f>LOOKUP(EOMONTH(A892,0),Target_Prices!A$2:A$38,Target_Prices!J$2:J$38)</f>
        <v>3.1331500000000001</v>
      </c>
      <c r="E892">
        <f t="shared" si="30"/>
        <v>-3.8524297956013864E-2</v>
      </c>
      <c r="F892">
        <f t="shared" si="28"/>
        <v>8.8551226790266641E-2</v>
      </c>
    </row>
    <row r="893" spans="1:6" x14ac:dyDescent="0.35">
      <c r="A893" s="16">
        <v>43098</v>
      </c>
      <c r="B893" t="s">
        <v>2</v>
      </c>
      <c r="C893" s="3">
        <v>2.8196346999999999</v>
      </c>
      <c r="D893" s="8">
        <f>LOOKUP(EOMONTH(A893,0),Target_Prices!A$2:A$38,Target_Prices!J$2:J$38)</f>
        <v>3.0137700000000001</v>
      </c>
      <c r="E893">
        <f t="shared" si="30"/>
        <v>-2.0373486176721411E-2</v>
      </c>
      <c r="F893">
        <f t="shared" si="28"/>
        <v>6.8851223883718032E-2</v>
      </c>
    </row>
    <row r="894" spans="1:6" x14ac:dyDescent="0.35">
      <c r="A894" s="15">
        <v>43131</v>
      </c>
      <c r="B894" t="s">
        <v>2</v>
      </c>
      <c r="C894" s="4">
        <v>2.7649032999999998</v>
      </c>
      <c r="D894" s="8">
        <f>LOOKUP(EOMONTH(A894,0),Target_Prices!A$2:A$38,Target_Prices!J$2:J$38)</f>
        <v>3.0137700000000001</v>
      </c>
      <c r="E894">
        <f t="shared" si="30"/>
        <v>-1.9410812329696547E-2</v>
      </c>
      <c r="F894">
        <f t="shared" si="28"/>
        <v>9.0009187663091225E-2</v>
      </c>
    </row>
    <row r="895" spans="1:6" x14ac:dyDescent="0.35">
      <c r="A895" s="16">
        <v>43159</v>
      </c>
      <c r="B895" t="s">
        <v>2</v>
      </c>
      <c r="C895" s="3">
        <v>2.6906254000000001</v>
      </c>
      <c r="D895" s="8">
        <f>LOOKUP(EOMONTH(A895,0),Target_Prices!A$2:A$38,Target_Prices!J$2:J$38)</f>
        <v>3.0137700000000001</v>
      </c>
      <c r="E895">
        <f t="shared" si="30"/>
        <v>-2.686455616729877E-2</v>
      </c>
      <c r="F895">
        <f t="shared" si="28"/>
        <v>0.12010018191309722</v>
      </c>
    </row>
    <row r="896" spans="1:6" x14ac:dyDescent="0.35">
      <c r="A896" s="15">
        <v>43189</v>
      </c>
      <c r="B896" t="s">
        <v>2</v>
      </c>
      <c r="C896" s="4">
        <v>3.0180354</v>
      </c>
      <c r="D896" s="8">
        <f>LOOKUP(EOMONTH(A896,0),Target_Prices!A$2:A$38,Target_Prices!J$2:J$38)</f>
        <v>2.9120300000000001</v>
      </c>
      <c r="E896">
        <f t="shared" si="30"/>
        <v>0.12168546390738744</v>
      </c>
      <c r="F896">
        <f t="shared" si="28"/>
        <v>-3.5123975020306231E-2</v>
      </c>
    </row>
    <row r="897" spans="1:6" x14ac:dyDescent="0.35">
      <c r="A897" s="16">
        <v>43220</v>
      </c>
      <c r="B897" t="s">
        <v>2</v>
      </c>
      <c r="C897" s="3">
        <v>3.0063070999999999</v>
      </c>
      <c r="D897" s="8">
        <f>LOOKUP(EOMONTH(A897,0),Target_Prices!A$2:A$38,Target_Prices!J$2:J$38)</f>
        <v>2.9120300000000001</v>
      </c>
      <c r="E897">
        <f t="shared" si="30"/>
        <v>-3.8860710513866081E-3</v>
      </c>
      <c r="F897">
        <f t="shared" si="28"/>
        <v>-3.1359770264321893E-2</v>
      </c>
    </row>
    <row r="898" spans="1:6" x14ac:dyDescent="0.35">
      <c r="A898" s="15">
        <v>43251</v>
      </c>
      <c r="B898" t="s">
        <v>2</v>
      </c>
      <c r="C898" s="4">
        <v>3.2740990000000001</v>
      </c>
      <c r="D898" s="8">
        <f>LOOKUP(EOMONTH(A898,0),Target_Prices!A$2:A$38,Target_Prices!J$2:J$38)</f>
        <v>2.9120300000000001</v>
      </c>
      <c r="E898">
        <f t="shared" si="30"/>
        <v>8.9076694792757705E-2</v>
      </c>
      <c r="F898">
        <f t="shared" si="28"/>
        <v>-0.11058584361682404</v>
      </c>
    </row>
    <row r="899" spans="1:6" x14ac:dyDescent="0.35">
      <c r="A899" s="16">
        <v>43280</v>
      </c>
      <c r="B899" t="s">
        <v>2</v>
      </c>
      <c r="C899" s="3">
        <v>3.3229663</v>
      </c>
      <c r="D899" s="8">
        <f>LOOKUP(EOMONTH(A899,0),Target_Prices!A$2:A$38,Target_Prices!J$2:J$38)</f>
        <v>3.2506400000000002</v>
      </c>
      <c r="E899">
        <f t="shared" si="30"/>
        <v>1.492541917639012E-2</v>
      </c>
      <c r="F899">
        <f t="shared" ref="F899:F962" si="31">(D899-C899)/C899</f>
        <v>-2.1765583358458931E-2</v>
      </c>
    </row>
    <row r="900" spans="1:6" x14ac:dyDescent="0.35">
      <c r="A900" s="15">
        <v>43312</v>
      </c>
      <c r="B900" t="s">
        <v>2</v>
      </c>
      <c r="C900" s="4">
        <v>3.4099498000000001</v>
      </c>
      <c r="D900" s="8">
        <f>LOOKUP(EOMONTH(A900,0),Target_Prices!A$2:A$38,Target_Prices!J$2:J$38)</f>
        <v>3.2506400000000002</v>
      </c>
      <c r="E900">
        <f t="shared" si="30"/>
        <v>2.6176461675220697E-2</v>
      </c>
      <c r="F900">
        <f t="shared" si="31"/>
        <v>-4.6719104193264062E-2</v>
      </c>
    </row>
    <row r="901" spans="1:6" x14ac:dyDescent="0.35">
      <c r="A901" s="16">
        <v>43343</v>
      </c>
      <c r="B901" t="s">
        <v>2</v>
      </c>
      <c r="C901" s="3">
        <v>3.2887591999999999</v>
      </c>
      <c r="D901" s="8">
        <f>LOOKUP(EOMONTH(A901,0),Target_Prices!A$2:A$38,Target_Prices!J$2:J$38)</f>
        <v>3.2506400000000002</v>
      </c>
      <c r="E901">
        <f t="shared" si="30"/>
        <v>-3.5540288598970071E-2</v>
      </c>
      <c r="F901">
        <f t="shared" si="31"/>
        <v>-1.1590754348934907E-2</v>
      </c>
    </row>
    <row r="902" spans="1:6" x14ac:dyDescent="0.35">
      <c r="A902" s="15">
        <v>43371</v>
      </c>
      <c r="B902" t="s">
        <v>2</v>
      </c>
      <c r="C902" s="4">
        <v>3.1059961</v>
      </c>
      <c r="D902" s="8">
        <f>LOOKUP(EOMONTH(A902,0),Target_Prices!A$2:A$38,Target_Prices!J$2:J$38)</f>
        <v>3.3292899999999999</v>
      </c>
      <c r="E902">
        <f t="shared" si="30"/>
        <v>-5.5572052827704721E-2</v>
      </c>
      <c r="F902">
        <f t="shared" si="31"/>
        <v>7.1891236437804873E-2</v>
      </c>
    </row>
    <row r="903" spans="1:6" x14ac:dyDescent="0.35">
      <c r="A903" s="16">
        <v>43404</v>
      </c>
      <c r="B903" t="s">
        <v>2</v>
      </c>
      <c r="C903" s="3">
        <v>3.0336728000000002</v>
      </c>
      <c r="D903" s="8">
        <f>LOOKUP(EOMONTH(A903,0),Target_Prices!A$2:A$38,Target_Prices!J$2:J$38)</f>
        <v>3.3292899999999999</v>
      </c>
      <c r="E903">
        <f t="shared" si="30"/>
        <v>-2.3285058213691867E-2</v>
      </c>
      <c r="F903">
        <f t="shared" si="31"/>
        <v>9.7445314471619901E-2</v>
      </c>
    </row>
    <row r="904" spans="1:6" x14ac:dyDescent="0.35">
      <c r="A904" s="15">
        <v>43434</v>
      </c>
      <c r="B904" t="s">
        <v>2</v>
      </c>
      <c r="C904" s="4">
        <v>3.017058</v>
      </c>
      <c r="D904" s="8">
        <f>LOOKUP(EOMONTH(A904,0),Target_Prices!A$2:A$38,Target_Prices!J$2:J$38)</f>
        <v>3.3292899999999999</v>
      </c>
      <c r="E904">
        <f t="shared" si="30"/>
        <v>-5.4767936739915646E-3</v>
      </c>
      <c r="F904">
        <f t="shared" si="31"/>
        <v>0.10348889547366999</v>
      </c>
    </row>
    <row r="905" spans="1:6" x14ac:dyDescent="0.35">
      <c r="A905" s="16">
        <v>43465</v>
      </c>
      <c r="B905" t="s">
        <v>2</v>
      </c>
      <c r="C905" s="3">
        <v>2.9799190000000002</v>
      </c>
      <c r="D905" s="8">
        <f>LOOKUP(EOMONTH(A905,0),Target_Prices!A$2:A$38,Target_Prices!J$2:J$38)</f>
        <v>3.3197000000000001</v>
      </c>
      <c r="E905">
        <f t="shared" si="30"/>
        <v>-1.2309673861092385E-2</v>
      </c>
      <c r="F905">
        <f t="shared" si="31"/>
        <v>0.11402356909701232</v>
      </c>
    </row>
    <row r="906" spans="1:6" x14ac:dyDescent="0.35">
      <c r="A906" s="15">
        <v>43496</v>
      </c>
      <c r="B906" t="s">
        <v>2</v>
      </c>
      <c r="C906" s="4">
        <v>3.1177242000000001</v>
      </c>
      <c r="D906" s="8">
        <f>LOOKUP(EOMONTH(A906,0),Target_Prices!A$2:A$38,Target_Prices!J$2:J$38)</f>
        <v>3.3197000000000001</v>
      </c>
      <c r="E906">
        <f t="shared" si="30"/>
        <v>4.624461268913671E-2</v>
      </c>
      <c r="F906">
        <f t="shared" si="31"/>
        <v>6.4783087612432178E-2</v>
      </c>
    </row>
    <row r="907" spans="1:6" x14ac:dyDescent="0.35">
      <c r="A907" s="16">
        <v>43524</v>
      </c>
      <c r="B907" t="s">
        <v>2</v>
      </c>
      <c r="C907" s="3">
        <v>3.1519309999999998</v>
      </c>
      <c r="D907" s="8">
        <f>LOOKUP(EOMONTH(A907,0),Target_Prices!A$2:A$38,Target_Prices!J$2:J$38)</f>
        <v>3.3197000000000001</v>
      </c>
      <c r="E907">
        <f t="shared" si="30"/>
        <v>1.0971720975190724E-2</v>
      </c>
      <c r="F907">
        <f t="shared" si="31"/>
        <v>5.3227370776834988E-2</v>
      </c>
    </row>
    <row r="908" spans="1:6" x14ac:dyDescent="0.35">
      <c r="A908" s="15">
        <v>43553</v>
      </c>
      <c r="B908" t="s">
        <v>2</v>
      </c>
      <c r="C908" s="4">
        <v>3.4255873999999999</v>
      </c>
      <c r="D908" s="8">
        <f>LOOKUP(EOMONTH(A908,0),Target_Prices!A$2:A$38,Target_Prices!J$2:J$38)</f>
        <v>3.48685</v>
      </c>
      <c r="E908">
        <f t="shared" si="30"/>
        <v>8.6821824462527841E-2</v>
      </c>
      <c r="F908">
        <f t="shared" si="31"/>
        <v>1.7883823369971543E-2</v>
      </c>
    </row>
    <row r="909" spans="1:6" x14ac:dyDescent="0.35">
      <c r="A909" s="16">
        <v>43585</v>
      </c>
      <c r="B909" t="s">
        <v>2</v>
      </c>
      <c r="C909" s="3">
        <v>3.3024420000000001</v>
      </c>
      <c r="D909" s="8">
        <f>LOOKUP(EOMONTH(A909,0),Target_Prices!A$2:A$38,Target_Prices!J$2:J$38)</f>
        <v>3.48685</v>
      </c>
      <c r="E909">
        <f t="shared" si="30"/>
        <v>-3.5948695981308121E-2</v>
      </c>
      <c r="F909">
        <f t="shared" si="31"/>
        <v>5.5839890602166486E-2</v>
      </c>
    </row>
    <row r="910" spans="1:6" x14ac:dyDescent="0.35">
      <c r="A910" s="15">
        <v>43616</v>
      </c>
      <c r="B910" t="s">
        <v>2</v>
      </c>
      <c r="C910" s="4">
        <v>3.1851609000000001</v>
      </c>
      <c r="D910" s="8">
        <f>LOOKUP(EOMONTH(A910,0),Target_Prices!A$2:A$38,Target_Prices!J$2:J$38)</f>
        <v>3.48685</v>
      </c>
      <c r="E910">
        <f t="shared" si="30"/>
        <v>-3.5513447321709246E-2</v>
      </c>
      <c r="F910">
        <f t="shared" si="31"/>
        <v>9.4717067511408903E-2</v>
      </c>
    </row>
    <row r="911" spans="1:6" x14ac:dyDescent="0.35">
      <c r="A911" s="16">
        <v>43644</v>
      </c>
      <c r="B911" t="s">
        <v>2</v>
      </c>
      <c r="C911" s="3">
        <v>3.2662803999999999</v>
      </c>
      <c r="D911" s="8">
        <f>LOOKUP(EOMONTH(A911,0),Target_Prices!A$2:A$38,Target_Prices!J$2:J$38)</f>
        <v>3.57036</v>
      </c>
      <c r="E911">
        <f t="shared" si="30"/>
        <v>2.5467944178267254E-2</v>
      </c>
      <c r="F911">
        <f t="shared" si="31"/>
        <v>9.3096600034706184E-2</v>
      </c>
    </row>
    <row r="912" spans="1:6" x14ac:dyDescent="0.35">
      <c r="A912" s="15">
        <v>43677</v>
      </c>
      <c r="B912" t="s">
        <v>2</v>
      </c>
      <c r="C912" s="4">
        <v>3.2457563999999999</v>
      </c>
      <c r="D912" s="8">
        <f>LOOKUP(EOMONTH(A912,0),Target_Prices!A$2:A$38,Target_Prices!J$2:J$38)</f>
        <v>3.57036</v>
      </c>
      <c r="E912">
        <f t="shared" si="30"/>
        <v>-6.2836001465153002E-3</v>
      </c>
      <c r="F912">
        <f t="shared" si="31"/>
        <v>0.10000861432484585</v>
      </c>
    </row>
    <row r="913" spans="1:6" x14ac:dyDescent="0.35">
      <c r="A913" s="16">
        <v>43707</v>
      </c>
      <c r="B913" t="s">
        <v>2</v>
      </c>
      <c r="C913" s="3">
        <v>3.3601052999999999</v>
      </c>
      <c r="D913" s="8">
        <f>LOOKUP(EOMONTH(A913,0),Target_Prices!A$2:A$38,Target_Prices!J$2:J$38)</f>
        <v>3.57036</v>
      </c>
      <c r="E913">
        <f t="shared" si="30"/>
        <v>3.5230277909950258E-2</v>
      </c>
      <c r="F913">
        <f t="shared" si="31"/>
        <v>6.2573842551898642E-2</v>
      </c>
    </row>
    <row r="914" spans="1:6" x14ac:dyDescent="0.35">
      <c r="A914" s="15">
        <v>43738</v>
      </c>
      <c r="B914" t="s">
        <v>2</v>
      </c>
      <c r="C914" s="4">
        <v>3.4812957999999998</v>
      </c>
      <c r="D914" s="8">
        <f>LOOKUP(EOMONTH(A914,0),Target_Prices!A$2:A$38,Target_Prices!J$2:J$38)</f>
        <v>3.8256899999999998</v>
      </c>
      <c r="E914">
        <f t="shared" si="30"/>
        <v>3.6067470861701922E-2</v>
      </c>
      <c r="F914">
        <f t="shared" si="31"/>
        <v>9.892701447547203E-2</v>
      </c>
    </row>
    <row r="915" spans="1:6" x14ac:dyDescent="0.35">
      <c r="A915" s="16">
        <v>43769</v>
      </c>
      <c r="B915" t="s">
        <v>2</v>
      </c>
      <c r="C915" s="3">
        <v>3.6063957000000002</v>
      </c>
      <c r="D915" s="8">
        <f>LOOKUP(EOMONTH(A915,0),Target_Prices!A$2:A$38,Target_Prices!J$2:J$38)</f>
        <v>3.8256899999999998</v>
      </c>
      <c r="E915">
        <f t="shared" si="30"/>
        <v>3.5934866551701861E-2</v>
      </c>
      <c r="F915">
        <f t="shared" si="31"/>
        <v>6.0807054533699563E-2</v>
      </c>
    </row>
    <row r="916" spans="1:6" x14ac:dyDescent="0.35">
      <c r="A916" s="15">
        <v>43798</v>
      </c>
      <c r="B916" t="s">
        <v>2</v>
      </c>
      <c r="C916" s="4">
        <v>3.586849</v>
      </c>
      <c r="D916" s="8">
        <f>LOOKUP(EOMONTH(A916,0),Target_Prices!A$2:A$38,Target_Prices!J$2:J$38)</f>
        <v>3.8256899999999998</v>
      </c>
      <c r="E916">
        <f t="shared" si="30"/>
        <v>-5.4200097898298161E-3</v>
      </c>
      <c r="F916">
        <f t="shared" si="31"/>
        <v>6.658797178247533E-2</v>
      </c>
    </row>
    <row r="917" spans="1:6" x14ac:dyDescent="0.35">
      <c r="A917" s="16">
        <v>43830</v>
      </c>
      <c r="B917" t="s">
        <v>2</v>
      </c>
      <c r="C917" s="3">
        <v>3.7764535000000001</v>
      </c>
      <c r="D917" s="8">
        <f>LOOKUP(EOMONTH(A917,0),Target_Prices!A$2:A$38,Target_Prices!J$2:J$38)</f>
        <v>3.8793000000000002</v>
      </c>
      <c r="E917">
        <f t="shared" si="30"/>
        <v>5.286102091278444E-2</v>
      </c>
      <c r="F917">
        <f t="shared" si="31"/>
        <v>2.7233620114745238E-2</v>
      </c>
    </row>
    <row r="918" spans="1:6" x14ac:dyDescent="0.35">
      <c r="A918" s="15">
        <v>43861</v>
      </c>
      <c r="B918" t="s">
        <v>2</v>
      </c>
      <c r="C918" s="4">
        <v>4.4215</v>
      </c>
      <c r="D918" s="8">
        <f>LOOKUP(EOMONTH(A918,0),Target_Prices!A$2:A$38,Target_Prices!J$2:J$38)</f>
        <v>3.8793000000000002</v>
      </c>
      <c r="E918">
        <f t="shared" si="30"/>
        <v>0.17080747849801403</v>
      </c>
      <c r="F918">
        <f t="shared" si="31"/>
        <v>-0.12262806739794183</v>
      </c>
    </row>
    <row r="919" spans="1:6" x14ac:dyDescent="0.35">
      <c r="A919" s="16">
        <v>43889</v>
      </c>
      <c r="B919" t="s">
        <v>2</v>
      </c>
      <c r="C919" s="3">
        <v>4.1243873000000004</v>
      </c>
      <c r="D919" s="8">
        <f>LOOKUP(EOMONTH(A919,0),Target_Prices!A$2:A$38,Target_Prices!J$2:J$38)</f>
        <v>3.8793000000000002</v>
      </c>
      <c r="E919">
        <f t="shared" si="30"/>
        <v>-6.71972633721587E-2</v>
      </c>
      <c r="F919">
        <f t="shared" si="31"/>
        <v>-5.9423929464626227E-2</v>
      </c>
    </row>
    <row r="920" spans="1:6" x14ac:dyDescent="0.35">
      <c r="A920" s="15">
        <v>43921</v>
      </c>
      <c r="B920" t="s">
        <v>2</v>
      </c>
      <c r="C920" s="4">
        <v>3.5751206999999998</v>
      </c>
      <c r="D920" s="8">
        <f>LOOKUP(EOMONTH(A920,0),Target_Prices!A$2:A$38,Target_Prices!J$2:J$38)</f>
        <v>4.4290900000000004</v>
      </c>
      <c r="E920">
        <f t="shared" si="30"/>
        <v>-0.13317532036819157</v>
      </c>
      <c r="F920">
        <f t="shared" si="31"/>
        <v>0.23886446686960824</v>
      </c>
    </row>
    <row r="921" spans="1:6" x14ac:dyDescent="0.35">
      <c r="A921" s="16">
        <v>43951</v>
      </c>
      <c r="B921" t="s">
        <v>2</v>
      </c>
      <c r="C921" s="3">
        <v>3.7627706999999999</v>
      </c>
      <c r="D921" s="8">
        <f>LOOKUP(EOMONTH(A921,0),Target_Prices!A$2:A$38,Target_Prices!J$2:J$38)</f>
        <v>4.4290900000000004</v>
      </c>
      <c r="E921">
        <f t="shared" si="30"/>
        <v>5.2487738386007621E-2</v>
      </c>
      <c r="F921">
        <f t="shared" si="31"/>
        <v>0.1770820900673008</v>
      </c>
    </row>
    <row r="922" spans="1:6" x14ac:dyDescent="0.35">
      <c r="A922" s="15">
        <v>43980</v>
      </c>
      <c r="B922" t="s">
        <v>2</v>
      </c>
      <c r="C922" s="4">
        <v>4.1273200000000001</v>
      </c>
      <c r="D922" s="8">
        <f>LOOKUP(EOMONTH(A922,0),Target_Prices!A$2:A$38,Target_Prices!J$2:J$38)</f>
        <v>4.4290900000000004</v>
      </c>
      <c r="E922">
        <f t="shared" si="30"/>
        <v>9.6883208960886202E-2</v>
      </c>
      <c r="F922">
        <f t="shared" si="31"/>
        <v>7.3115241851855514E-2</v>
      </c>
    </row>
    <row r="923" spans="1:6" x14ac:dyDescent="0.35">
      <c r="A923" s="16">
        <v>44012</v>
      </c>
      <c r="B923" t="s">
        <v>2</v>
      </c>
      <c r="C923" s="3">
        <v>4.153708</v>
      </c>
      <c r="D923" s="8">
        <f>LOOKUP(EOMONTH(A923,0),Target_Prices!A$2:A$38,Target_Prices!J$2:J$38)</f>
        <v>4.4279400000000004</v>
      </c>
      <c r="E923">
        <f t="shared" si="30"/>
        <v>6.3934950524795475E-3</v>
      </c>
      <c r="F923">
        <f t="shared" si="31"/>
        <v>6.6021010624723861E-2</v>
      </c>
    </row>
    <row r="924" spans="1:6" x14ac:dyDescent="0.35">
      <c r="A924" s="15">
        <v>44043</v>
      </c>
      <c r="B924" t="s">
        <v>2</v>
      </c>
      <c r="C924" s="4">
        <v>4.2850000000000001</v>
      </c>
      <c r="D924" s="8">
        <f>LOOKUP(EOMONTH(A924,0),Target_Prices!A$2:A$38,Target_Prices!J$2:J$38)</f>
        <v>4.4279400000000004</v>
      </c>
      <c r="E924">
        <f t="shared" si="30"/>
        <v>3.1608384604791651E-2</v>
      </c>
      <c r="F924">
        <f t="shared" si="31"/>
        <v>3.3358226371061908E-2</v>
      </c>
    </row>
    <row r="925" spans="1:6" x14ac:dyDescent="0.35">
      <c r="A925" s="16">
        <v>44074</v>
      </c>
      <c r="B925" t="s">
        <v>2</v>
      </c>
      <c r="C925" s="3">
        <v>4.242</v>
      </c>
      <c r="D925" s="8">
        <f>LOOKUP(EOMONTH(A925,0),Target_Prices!A$2:A$38,Target_Prices!J$2:J$38)</f>
        <v>4.4279400000000004</v>
      </c>
      <c r="E925">
        <f t="shared" si="30"/>
        <v>-1.0035005834305721E-2</v>
      </c>
      <c r="F925">
        <f t="shared" si="31"/>
        <v>4.3833097595473935E-2</v>
      </c>
    </row>
    <row r="926" spans="1:6" x14ac:dyDescent="0.35">
      <c r="A926" s="15">
        <v>44104</v>
      </c>
      <c r="B926" t="s">
        <v>2</v>
      </c>
      <c r="C926" s="4">
        <v>4.1950000000000003</v>
      </c>
      <c r="D926" s="8">
        <f>LOOKUP(EOMONTH(A926,0),Target_Prices!A$2:A$38,Target_Prices!J$2:J$38)</f>
        <v>4.7692199999999998</v>
      </c>
      <c r="E926">
        <f t="shared" si="30"/>
        <v>-1.1079679396511E-2</v>
      </c>
      <c r="F926">
        <f t="shared" si="31"/>
        <v>0.13688200238379011</v>
      </c>
    </row>
    <row r="927" spans="1:6" x14ac:dyDescent="0.35">
      <c r="A927" s="16">
        <v>44134</v>
      </c>
      <c r="B927" t="s">
        <v>2</v>
      </c>
      <c r="C927" s="3">
        <v>4.2320000000000002</v>
      </c>
      <c r="D927" s="8">
        <f>LOOKUP(EOMONTH(A927,0),Target_Prices!A$2:A$38,Target_Prices!J$2:J$38)</f>
        <v>4.7692199999999998</v>
      </c>
      <c r="E927">
        <f t="shared" si="30"/>
        <v>8.8200238379021467E-3</v>
      </c>
      <c r="F927">
        <f t="shared" si="31"/>
        <v>0.12694234404536853</v>
      </c>
    </row>
    <row r="928" spans="1:6" x14ac:dyDescent="0.35">
      <c r="A928" s="15">
        <v>44165</v>
      </c>
      <c r="B928" t="s">
        <v>2</v>
      </c>
      <c r="C928" s="4">
        <v>4.468</v>
      </c>
      <c r="D928" s="8">
        <f>LOOKUP(EOMONTH(A928,0),Target_Prices!A$2:A$38,Target_Prices!J$2:J$38)</f>
        <v>4.7692199999999998</v>
      </c>
      <c r="E928">
        <f t="shared" si="30"/>
        <v>5.5765595463137974E-2</v>
      </c>
      <c r="F928">
        <f t="shared" si="31"/>
        <v>6.7417188898836133E-2</v>
      </c>
    </row>
    <row r="929" spans="1:6" x14ac:dyDescent="0.35">
      <c r="A929" s="16">
        <v>44196</v>
      </c>
      <c r="B929" t="s">
        <v>2</v>
      </c>
      <c r="C929" s="3">
        <v>5.1559999999999997</v>
      </c>
      <c r="D929" s="8">
        <f>LOOKUP(EOMONTH(A929,0),Target_Prices!A$2:A$38,Target_Prices!J$2:J$38)</f>
        <v>5.0952900000000003</v>
      </c>
      <c r="E929">
        <f t="shared" si="30"/>
        <v>0.15398388540734098</v>
      </c>
      <c r="F929">
        <f t="shared" si="31"/>
        <v>-1.1774631497284596E-2</v>
      </c>
    </row>
    <row r="930" spans="1:6" x14ac:dyDescent="0.35">
      <c r="A930" s="15">
        <v>44225</v>
      </c>
      <c r="B930" t="s">
        <v>2</v>
      </c>
      <c r="C930" s="4">
        <v>5.1719999999999997</v>
      </c>
      <c r="D930" s="8">
        <f>LOOKUP(EOMONTH(A930,0),Target_Prices!A$2:A$38,Target_Prices!J$2:J$38)</f>
        <v>5.0952900000000003</v>
      </c>
      <c r="E930">
        <f t="shared" si="30"/>
        <v>3.1031807602792671E-3</v>
      </c>
      <c r="F930">
        <f t="shared" si="31"/>
        <v>-1.4831786542923317E-2</v>
      </c>
    </row>
    <row r="931" spans="1:6" x14ac:dyDescent="0.35">
      <c r="A931" s="16">
        <v>44253</v>
      </c>
      <c r="B931" t="s">
        <v>2</v>
      </c>
      <c r="C931" s="3">
        <v>4.7460000000000004</v>
      </c>
      <c r="D931" s="8">
        <f>LOOKUP(EOMONTH(A931,0),Target_Prices!A$2:A$38,Target_Prices!J$2:J$38)</f>
        <v>5.0952900000000003</v>
      </c>
      <c r="E931">
        <f t="shared" si="30"/>
        <v>-8.2366589327146023E-2</v>
      </c>
      <c r="F931">
        <f t="shared" si="31"/>
        <v>7.3596713021491747E-2</v>
      </c>
    </row>
    <row r="932" spans="1:6" x14ac:dyDescent="0.35">
      <c r="A932" s="15">
        <v>44286</v>
      </c>
      <c r="B932" t="s">
        <v>2</v>
      </c>
      <c r="C932" s="4">
        <v>4.87</v>
      </c>
      <c r="D932" s="8">
        <f>LOOKUP(EOMONTH(A932,0),Target_Prices!A$2:A$38,Target_Prices!J$2:J$38)</f>
        <v>5.8363199999999997</v>
      </c>
      <c r="E932">
        <f t="shared" si="30"/>
        <v>2.612726506531815E-2</v>
      </c>
      <c r="F932">
        <f t="shared" si="31"/>
        <v>0.19842299794661183</v>
      </c>
    </row>
    <row r="933" spans="1:6" x14ac:dyDescent="0.35">
      <c r="A933" s="16">
        <v>44316</v>
      </c>
      <c r="B933" t="s">
        <v>2</v>
      </c>
      <c r="C933" s="3">
        <v>4.6219996999999999</v>
      </c>
      <c r="D933" s="8">
        <f>LOOKUP(EOMONTH(A933,0),Target_Prices!A$2:A$38,Target_Prices!J$2:J$38)</f>
        <v>5.8363199999999997</v>
      </c>
      <c r="E933">
        <f t="shared" si="30"/>
        <v>-5.0924086242299826E-2</v>
      </c>
      <c r="F933">
        <f t="shared" si="31"/>
        <v>0.26272617456033148</v>
      </c>
    </row>
    <row r="934" spans="1:6" x14ac:dyDescent="0.35">
      <c r="A934" s="15">
        <v>44347</v>
      </c>
      <c r="B934" t="s">
        <v>2</v>
      </c>
      <c r="C934" s="4">
        <v>4.7050000000000001</v>
      </c>
      <c r="D934" s="8">
        <f>LOOKUP(EOMONTH(A934,0),Target_Prices!A$2:A$38,Target_Prices!J$2:J$38)</f>
        <v>5.8363199999999997</v>
      </c>
      <c r="E934">
        <f t="shared" si="30"/>
        <v>1.7957660187645663E-2</v>
      </c>
      <c r="F934">
        <f t="shared" si="31"/>
        <v>0.24045058448459078</v>
      </c>
    </row>
    <row r="935" spans="1:6" x14ac:dyDescent="0.35">
      <c r="A935" s="16">
        <v>44377</v>
      </c>
      <c r="B935" t="s">
        <v>2</v>
      </c>
      <c r="C935" s="3">
        <v>4.47</v>
      </c>
      <c r="D935" s="8">
        <f>LOOKUP(EOMONTH(A935,0),Target_Prices!A$2:A$38,Target_Prices!J$2:J$38)</f>
        <v>5.8093700000000004</v>
      </c>
      <c r="E935">
        <f t="shared" si="30"/>
        <v>-4.9946865037194588E-2</v>
      </c>
      <c r="F935">
        <f t="shared" si="31"/>
        <v>0.29963534675615228</v>
      </c>
    </row>
    <row r="936" spans="1:6" x14ac:dyDescent="0.35">
      <c r="A936" s="15">
        <v>44407</v>
      </c>
      <c r="B936" t="s">
        <v>2</v>
      </c>
      <c r="C936" s="4">
        <v>4.3769999999999998</v>
      </c>
      <c r="D936" s="8">
        <f>LOOKUP(EOMONTH(A936,0),Target_Prices!A$2:A$38,Target_Prices!J$2:J$38)</f>
        <v>5.8093700000000004</v>
      </c>
      <c r="E936">
        <f t="shared" si="30"/>
        <v>-2.0805369127516737E-2</v>
      </c>
      <c r="F936">
        <f t="shared" si="31"/>
        <v>0.32724925748229394</v>
      </c>
    </row>
    <row r="937" spans="1:6" x14ac:dyDescent="0.35">
      <c r="A937" s="16">
        <v>44439</v>
      </c>
      <c r="B937" t="s">
        <v>2</v>
      </c>
      <c r="C937" s="3">
        <v>4.6520000000000001</v>
      </c>
      <c r="D937" s="8">
        <f>LOOKUP(EOMONTH(A937,0),Target_Prices!A$2:A$38,Target_Prices!J$2:J$38)</f>
        <v>5.8093700000000004</v>
      </c>
      <c r="E937">
        <f t="shared" si="30"/>
        <v>6.282842129312316E-2</v>
      </c>
      <c r="F937">
        <f t="shared" si="31"/>
        <v>0.24878976784178852</v>
      </c>
    </row>
    <row r="938" spans="1:6" x14ac:dyDescent="0.35">
      <c r="A938" s="15">
        <v>44469</v>
      </c>
      <c r="B938" t="s">
        <v>2</v>
      </c>
      <c r="C938" s="4">
        <v>4.5350000000000001</v>
      </c>
      <c r="D938" s="8">
        <f>LOOKUP(EOMONTH(A938,0),Target_Prices!A$2:A$38,Target_Prices!J$2:J$38)</f>
        <v>5.7663200000000003</v>
      </c>
      <c r="E938">
        <f t="shared" si="30"/>
        <v>-2.5150472914875266E-2</v>
      </c>
      <c r="F938">
        <f t="shared" si="31"/>
        <v>0.27151488423373765</v>
      </c>
    </row>
    <row r="939" spans="1:6" x14ac:dyDescent="0.35">
      <c r="A939" s="16">
        <v>44498</v>
      </c>
      <c r="B939" t="s">
        <v>2</v>
      </c>
      <c r="C939" s="3">
        <v>4.8840000000000003</v>
      </c>
      <c r="D939" s="8">
        <f>LOOKUP(EOMONTH(A939,0),Target_Prices!A$2:A$38,Target_Prices!J$2:J$38)</f>
        <v>5.7663200000000003</v>
      </c>
      <c r="E939">
        <f t="shared" si="30"/>
        <v>7.6957001102535783E-2</v>
      </c>
      <c r="F939">
        <f t="shared" si="31"/>
        <v>0.18065520065520063</v>
      </c>
    </row>
    <row r="940" spans="1:6" x14ac:dyDescent="0.35">
      <c r="A940" s="15">
        <v>44530</v>
      </c>
      <c r="B940" t="s">
        <v>2</v>
      </c>
      <c r="C940" s="4">
        <v>4.8339999999999996</v>
      </c>
      <c r="D940" s="8">
        <f>LOOKUP(EOMONTH(A940,0),Target_Prices!A$2:A$38,Target_Prices!J$2:J$38)</f>
        <v>5.7663200000000003</v>
      </c>
      <c r="E940">
        <f t="shared" si="30"/>
        <v>-1.0237510237510405E-2</v>
      </c>
      <c r="F940">
        <f t="shared" si="31"/>
        <v>0.19286719073231295</v>
      </c>
    </row>
    <row r="941" spans="1:6" x14ac:dyDescent="0.35">
      <c r="A941" s="16">
        <v>44561</v>
      </c>
      <c r="B941" t="s">
        <v>2</v>
      </c>
      <c r="C941" s="3">
        <v>4.8319999999999999</v>
      </c>
      <c r="D941" s="8">
        <f>LOOKUP(EOMONTH(A941,0),Target_Prices!A$2:A$38,Target_Prices!J$2:J$38)</f>
        <v>5.6838899999999999</v>
      </c>
      <c r="E941">
        <f t="shared" si="30"/>
        <v>-4.1373603640870726E-4</v>
      </c>
      <c r="F941">
        <f t="shared" si="31"/>
        <v>0.17630173841059604</v>
      </c>
    </row>
    <row r="942" spans="1:6" x14ac:dyDescent="0.35">
      <c r="A942" s="15">
        <v>44592</v>
      </c>
      <c r="B942" t="s">
        <v>2</v>
      </c>
      <c r="C942" s="4">
        <v>4.5389999999999997</v>
      </c>
      <c r="D942" s="8">
        <f>LOOKUP(EOMONTH(A942,0),Target_Prices!A$2:A$38,Target_Prices!J$2:J$38)</f>
        <v>5.6838899999999999</v>
      </c>
      <c r="E942">
        <f t="shared" si="30"/>
        <v>-6.0637417218543099E-2</v>
      </c>
      <c r="F942">
        <f t="shared" si="31"/>
        <v>0.25223397224058169</v>
      </c>
    </row>
    <row r="943" spans="1:6" x14ac:dyDescent="0.35">
      <c r="A943" s="16">
        <v>44620</v>
      </c>
      <c r="B943" t="s">
        <v>2</v>
      </c>
      <c r="C943" s="3">
        <v>4.3639999999999999</v>
      </c>
      <c r="D943" s="8">
        <f>LOOKUP(EOMONTH(A943,0),Target_Prices!A$2:A$38,Target_Prices!J$2:J$38)</f>
        <v>5.6838899999999999</v>
      </c>
      <c r="E943">
        <f t="shared" si="30"/>
        <v>-3.8554747741793349E-2</v>
      </c>
      <c r="F943">
        <f t="shared" si="31"/>
        <v>0.30244958753437212</v>
      </c>
    </row>
    <row r="944" spans="1:6" x14ac:dyDescent="0.35">
      <c r="A944" s="15">
        <v>44651</v>
      </c>
      <c r="B944" t="s">
        <v>2</v>
      </c>
      <c r="C944" s="4">
        <v>4.4649999999999999</v>
      </c>
      <c r="D944" s="8">
        <f>LOOKUP(EOMONTH(A944,0),Target_Prices!A$2:A$38,Target_Prices!J$2:J$38)</f>
        <v>5.5166700000000004</v>
      </c>
      <c r="E944">
        <f t="shared" si="30"/>
        <v>2.3143904674610472E-2</v>
      </c>
      <c r="F944">
        <f t="shared" si="31"/>
        <v>0.23553639417693181</v>
      </c>
    </row>
    <row r="945" spans="1:6" x14ac:dyDescent="0.35">
      <c r="A945" s="16">
        <v>44680</v>
      </c>
      <c r="B945" t="s">
        <v>2</v>
      </c>
      <c r="C945" s="3">
        <v>4.4420000000000002</v>
      </c>
      <c r="D945" s="8">
        <f>LOOKUP(EOMONTH(A945,0),Target_Prices!A$2:A$38,Target_Prices!J$2:J$38)</f>
        <v>5.5166700000000004</v>
      </c>
      <c r="E945">
        <f t="shared" si="30"/>
        <v>-5.151175811870079E-3</v>
      </c>
      <c r="F945">
        <f t="shared" si="31"/>
        <v>0.24193381359747865</v>
      </c>
    </row>
    <row r="946" spans="1:6" x14ac:dyDescent="0.35">
      <c r="A946" s="15">
        <v>44712</v>
      </c>
      <c r="B946" t="s">
        <v>2</v>
      </c>
      <c r="C946" s="4">
        <v>4.6719999999999997</v>
      </c>
      <c r="D946" s="8">
        <f>LOOKUP(EOMONTH(A946,0),Target_Prices!A$2:A$38,Target_Prices!J$2:J$38)</f>
        <v>5.5166700000000004</v>
      </c>
      <c r="E946">
        <f t="shared" si="30"/>
        <v>5.1778478162989527E-2</v>
      </c>
      <c r="F946">
        <f t="shared" si="31"/>
        <v>0.18079409246575359</v>
      </c>
    </row>
    <row r="947" spans="1:6" x14ac:dyDescent="0.35">
      <c r="A947" s="16">
        <v>44742</v>
      </c>
      <c r="B947" t="s">
        <v>2</v>
      </c>
      <c r="C947" s="3">
        <v>4.452</v>
      </c>
      <c r="D947" s="8">
        <f>LOOKUP(EOMONTH(A947,0),Target_Prices!A$2:A$38,Target_Prices!J$2:J$38)</f>
        <v>5.5824999999999996</v>
      </c>
      <c r="E947">
        <f t="shared" si="30"/>
        <v>-4.7089041095890405E-2</v>
      </c>
      <c r="F947">
        <f t="shared" si="31"/>
        <v>0.25393081761006281</v>
      </c>
    </row>
    <row r="948" spans="1:6" x14ac:dyDescent="0.35">
      <c r="A948" s="15">
        <v>44771</v>
      </c>
      <c r="B948" t="s">
        <v>2</v>
      </c>
      <c r="C948" s="4">
        <v>4.9390000000000001</v>
      </c>
      <c r="D948" s="8">
        <f>LOOKUP(EOMONTH(A948,0),Target_Prices!A$2:A$38,Target_Prices!J$2:J$38)</f>
        <v>5.5824999999999996</v>
      </c>
      <c r="E948">
        <f t="shared" ref="E948:E991" si="32">(C948/C947)-1</f>
        <v>0.1093890386343217</v>
      </c>
      <c r="F948">
        <f t="shared" si="31"/>
        <v>0.13028953229398654</v>
      </c>
    </row>
    <row r="949" spans="1:6" x14ac:dyDescent="0.35">
      <c r="A949" s="16">
        <v>44804</v>
      </c>
      <c r="B949" t="s">
        <v>2</v>
      </c>
      <c r="C949" s="3">
        <v>4.7619999999999996</v>
      </c>
      <c r="D949" s="8">
        <f>LOOKUP(EOMONTH(A949,0),Target_Prices!A$2:A$38,Target_Prices!J$2:J$38)</f>
        <v>5.5824999999999996</v>
      </c>
      <c r="E949">
        <f t="shared" si="32"/>
        <v>-3.5837214010933538E-2</v>
      </c>
      <c r="F949">
        <f t="shared" si="31"/>
        <v>0.17230155396892063</v>
      </c>
    </row>
    <row r="950" spans="1:6" x14ac:dyDescent="0.35">
      <c r="A950" s="15">
        <v>44834</v>
      </c>
      <c r="B950" t="s">
        <v>2</v>
      </c>
      <c r="C950" s="4">
        <v>4.4400000000000004</v>
      </c>
      <c r="D950" s="8">
        <f>LOOKUP(EOMONTH(A950,0),Target_Prices!A$2:A$38,Target_Prices!J$2:J$38)</f>
        <v>5.9333299999999998</v>
      </c>
      <c r="E950">
        <f t="shared" si="32"/>
        <v>-6.7618647627047279E-2</v>
      </c>
      <c r="F950">
        <f t="shared" si="31"/>
        <v>0.33633558558558541</v>
      </c>
    </row>
    <row r="951" spans="1:6" x14ac:dyDescent="0.35">
      <c r="A951" s="16">
        <v>44865</v>
      </c>
      <c r="B951" t="s">
        <v>2</v>
      </c>
      <c r="C951" s="3">
        <v>4.4249999999999998</v>
      </c>
      <c r="D951" s="8">
        <f>LOOKUP(EOMONTH(A951,0),Target_Prices!A$2:A$38,Target_Prices!J$2:J$38)</f>
        <v>5.9333299999999998</v>
      </c>
      <c r="E951">
        <f t="shared" si="32"/>
        <v>-3.3783783783785104E-3</v>
      </c>
      <c r="F951">
        <f t="shared" si="31"/>
        <v>0.34086553672316383</v>
      </c>
    </row>
    <row r="952" spans="1:6" x14ac:dyDescent="0.35">
      <c r="A952" s="15">
        <v>44895</v>
      </c>
      <c r="B952" t="s">
        <v>2</v>
      </c>
      <c r="C952" s="4">
        <v>4.5190000000000001</v>
      </c>
      <c r="D952" s="8">
        <f>LOOKUP(EOMONTH(A952,0),Target_Prices!A$2:A$38,Target_Prices!J$2:J$38)</f>
        <v>5.9333299999999998</v>
      </c>
      <c r="E952">
        <f t="shared" si="32"/>
        <v>2.124293785310738E-2</v>
      </c>
      <c r="F952">
        <f t="shared" si="31"/>
        <v>0.31297410931622033</v>
      </c>
    </row>
    <row r="953" spans="1:6" x14ac:dyDescent="0.35">
      <c r="A953" s="16">
        <v>44925</v>
      </c>
      <c r="B953" t="s">
        <v>2</v>
      </c>
      <c r="C953" s="3">
        <v>4.6559999999999997</v>
      </c>
      <c r="D953" s="8">
        <f>LOOKUP(EOMONTH(A953,0),Target_Prices!A$2:A$38,Target_Prices!J$2:J$38)</f>
        <v>5.6050000000000004</v>
      </c>
      <c r="E953">
        <f t="shared" si="32"/>
        <v>3.0316441690639406E-2</v>
      </c>
      <c r="F953">
        <f t="shared" si="31"/>
        <v>0.20382302405498298</v>
      </c>
    </row>
    <row r="954" spans="1:6" x14ac:dyDescent="0.35">
      <c r="A954" s="15">
        <v>44957</v>
      </c>
      <c r="B954" t="s">
        <v>2</v>
      </c>
      <c r="C954" s="4">
        <v>4.5579999999999998</v>
      </c>
      <c r="D954" s="8">
        <f>LOOKUP(EOMONTH(A954,0),Target_Prices!A$2:A$38,Target_Prices!J$2:J$38)</f>
        <v>5.6050000000000004</v>
      </c>
      <c r="E954">
        <f t="shared" si="32"/>
        <v>-2.1048109965635664E-2</v>
      </c>
      <c r="F954">
        <f t="shared" si="31"/>
        <v>0.22970601140851266</v>
      </c>
    </row>
    <row r="955" spans="1:6" x14ac:dyDescent="0.35">
      <c r="A955" s="16">
        <v>44985</v>
      </c>
      <c r="B955" t="s">
        <v>2</v>
      </c>
      <c r="C955" s="3">
        <v>4.7759999999999998</v>
      </c>
      <c r="D955" s="8">
        <f>LOOKUP(EOMONTH(A955,0),Target_Prices!A$2:A$38,Target_Prices!J$2:J$38)</f>
        <v>5.6050000000000004</v>
      </c>
      <c r="E955">
        <f t="shared" si="32"/>
        <v>4.7827994734532586E-2</v>
      </c>
      <c r="F955">
        <f t="shared" si="31"/>
        <v>0.17357621440536028</v>
      </c>
    </row>
    <row r="956" spans="1:6" x14ac:dyDescent="0.35">
      <c r="A956" s="15">
        <v>45016</v>
      </c>
      <c r="B956" t="s">
        <v>2</v>
      </c>
      <c r="C956" s="4">
        <v>5.016</v>
      </c>
      <c r="D956" s="8">
        <f>LOOKUP(EOMONTH(A956,0),Target_Prices!A$2:A$38,Target_Prices!J$2:J$38)</f>
        <v>5.6749999999999998</v>
      </c>
      <c r="E956">
        <f t="shared" si="32"/>
        <v>5.0251256281407031E-2</v>
      </c>
      <c r="F956">
        <f t="shared" si="31"/>
        <v>0.13137958532695371</v>
      </c>
    </row>
    <row r="957" spans="1:6" x14ac:dyDescent="0.35">
      <c r="A957" s="16">
        <v>45044</v>
      </c>
      <c r="B957" t="s">
        <v>2</v>
      </c>
      <c r="C957" s="3">
        <v>5</v>
      </c>
      <c r="D957" s="8">
        <f>LOOKUP(EOMONTH(A957,0),Target_Prices!A$2:A$38,Target_Prices!J$2:J$38)</f>
        <v>5.6749999999999998</v>
      </c>
      <c r="E957">
        <f t="shared" si="32"/>
        <v>-3.1897926634768536E-3</v>
      </c>
      <c r="F957">
        <f t="shared" si="31"/>
        <v>0.13499999999999995</v>
      </c>
    </row>
    <row r="958" spans="1:6" x14ac:dyDescent="0.35">
      <c r="A958" s="15">
        <v>45077</v>
      </c>
      <c r="B958" t="s">
        <v>2</v>
      </c>
      <c r="C958" s="4">
        <v>4.5620000000000003</v>
      </c>
      <c r="D958" s="8">
        <f>LOOKUP(EOMONTH(A958,0),Target_Prices!A$2:A$38,Target_Prices!J$2:J$38)</f>
        <v>5.6749999999999998</v>
      </c>
      <c r="E958">
        <f t="shared" si="32"/>
        <v>-8.75999999999999E-2</v>
      </c>
      <c r="F958">
        <f t="shared" si="31"/>
        <v>0.24397194213064433</v>
      </c>
    </row>
    <row r="959" spans="1:6" x14ac:dyDescent="0.35">
      <c r="A959" s="16">
        <v>45107</v>
      </c>
      <c r="B959" t="s">
        <v>2</v>
      </c>
      <c r="C959" s="3">
        <v>4.476</v>
      </c>
      <c r="D959" s="8">
        <f>LOOKUP(EOMONTH(A959,0),Target_Prices!A$2:A$38,Target_Prices!J$2:J$38)</f>
        <v>5.7237499999999999</v>
      </c>
      <c r="E959">
        <f t="shared" si="32"/>
        <v>-1.8851380973257448E-2</v>
      </c>
      <c r="F959">
        <f t="shared" si="31"/>
        <v>0.2787645218945487</v>
      </c>
    </row>
    <row r="960" spans="1:6" x14ac:dyDescent="0.35">
      <c r="A960" s="15">
        <v>45138</v>
      </c>
      <c r="B960" t="s">
        <v>2</v>
      </c>
      <c r="C960" s="4">
        <v>4.25</v>
      </c>
      <c r="D960" s="8">
        <f>LOOKUP(EOMONTH(A960,0),Target_Prices!A$2:A$38,Target_Prices!J$2:J$38)</f>
        <v>5.7237499999999999</v>
      </c>
      <c r="E960">
        <f t="shared" si="32"/>
        <v>-5.0491510277033025E-2</v>
      </c>
      <c r="F960">
        <f t="shared" si="31"/>
        <v>0.34676470588235292</v>
      </c>
    </row>
    <row r="961" spans="1:6" x14ac:dyDescent="0.35">
      <c r="A961" s="16">
        <v>45169</v>
      </c>
      <c r="B961" t="s">
        <v>2</v>
      </c>
      <c r="C961" s="3">
        <v>4.2060000000000004</v>
      </c>
      <c r="D961" s="8">
        <f>LOOKUP(EOMONTH(A961,0),Target_Prices!A$2:A$38,Target_Prices!J$2:J$38)</f>
        <v>5.7237499999999999</v>
      </c>
      <c r="E961">
        <f t="shared" si="32"/>
        <v>-1.0352941176470454E-2</v>
      </c>
      <c r="F961">
        <f t="shared" si="31"/>
        <v>0.36085354255824997</v>
      </c>
    </row>
    <row r="962" spans="1:6" x14ac:dyDescent="0.35">
      <c r="A962" s="15">
        <v>45198</v>
      </c>
      <c r="B962" t="s">
        <v>2</v>
      </c>
      <c r="C962" s="4">
        <v>3.9359999000000001</v>
      </c>
      <c r="D962" s="8">
        <f>LOOKUP(EOMONTH(A962,0),Target_Prices!A$2:A$38,Target_Prices!J$2:J$38)</f>
        <v>5.5517599999999998</v>
      </c>
      <c r="E962">
        <f t="shared" si="32"/>
        <v>-6.4194032334759954E-2</v>
      </c>
      <c r="F962">
        <f t="shared" si="31"/>
        <v>0.41050816591738215</v>
      </c>
    </row>
    <row r="963" spans="1:6" x14ac:dyDescent="0.35">
      <c r="A963" s="16">
        <v>45230</v>
      </c>
      <c r="B963" t="s">
        <v>2</v>
      </c>
      <c r="C963" s="3">
        <v>3.97</v>
      </c>
      <c r="D963" s="8">
        <f>LOOKUP(EOMONTH(A963,0),Target_Prices!A$2:A$38,Target_Prices!J$2:J$38)</f>
        <v>5.5517599999999998</v>
      </c>
      <c r="E963">
        <f t="shared" si="32"/>
        <v>8.6382370080853033E-3</v>
      </c>
      <c r="F963">
        <f t="shared" ref="F963:F1026" si="33">(D963-C963)/C963</f>
        <v>0.39842821158690167</v>
      </c>
    </row>
    <row r="964" spans="1:6" x14ac:dyDescent="0.35">
      <c r="A964" s="15">
        <v>45260</v>
      </c>
      <c r="B964" t="s">
        <v>2</v>
      </c>
      <c r="C964" s="4">
        <v>4.3869999999999996</v>
      </c>
      <c r="D964" s="8">
        <f>LOOKUP(EOMONTH(A964,0),Target_Prices!A$2:A$38,Target_Prices!J$2:J$38)</f>
        <v>5.5517599999999998</v>
      </c>
      <c r="E964">
        <f t="shared" si="32"/>
        <v>0.10503778337531466</v>
      </c>
      <c r="F964">
        <f t="shared" si="33"/>
        <v>0.26550262138135405</v>
      </c>
    </row>
    <row r="965" spans="1:6" x14ac:dyDescent="0.35">
      <c r="A965" s="16">
        <v>45289</v>
      </c>
      <c r="B965" t="s">
        <v>2</v>
      </c>
      <c r="C965" s="3">
        <v>4.5549999999999997</v>
      </c>
      <c r="D965" s="8">
        <f>LOOKUP(EOMONTH(A965,0),Target_Prices!A$2:A$38,Target_Prices!J$2:J$38)</f>
        <v>5.5238899999999997</v>
      </c>
      <c r="E965">
        <f t="shared" si="32"/>
        <v>3.8294962388876197E-2</v>
      </c>
      <c r="F965">
        <f t="shared" si="33"/>
        <v>0.21270911086717895</v>
      </c>
    </row>
    <row r="966" spans="1:6" x14ac:dyDescent="0.35">
      <c r="A966" s="15">
        <v>45322</v>
      </c>
      <c r="B966" t="s">
        <v>2</v>
      </c>
      <c r="C966" s="4">
        <v>4.1420000000000003</v>
      </c>
      <c r="D966" s="8">
        <f>LOOKUP(EOMONTH(A966,0),Target_Prices!A$2:A$38,Target_Prices!J$2:J$38)</f>
        <v>5.5238899999999997</v>
      </c>
      <c r="E966">
        <f t="shared" si="32"/>
        <v>-9.0669593852908736E-2</v>
      </c>
      <c r="F966">
        <f t="shared" si="33"/>
        <v>0.33362868179623351</v>
      </c>
    </row>
    <row r="967" spans="1:6" x14ac:dyDescent="0.35">
      <c r="A967" s="16">
        <v>45351</v>
      </c>
      <c r="B967" t="s">
        <v>2</v>
      </c>
      <c r="C967" s="3">
        <v>3.6789999999999998</v>
      </c>
      <c r="D967" s="8">
        <f>LOOKUP(EOMONTH(A967,0),Target_Prices!A$2:A$38,Target_Prices!J$2:J$38)</f>
        <v>5.5238899999999997</v>
      </c>
      <c r="E967">
        <f t="shared" si="32"/>
        <v>-0.11178174794785145</v>
      </c>
      <c r="F967">
        <f t="shared" si="33"/>
        <v>0.5014650720304431</v>
      </c>
    </row>
    <row r="968" spans="1:6" x14ac:dyDescent="0.35">
      <c r="A968" s="15">
        <v>45380</v>
      </c>
      <c r="B968" t="s">
        <v>2</v>
      </c>
      <c r="C968" s="4">
        <v>3.6100001000000002</v>
      </c>
      <c r="D968" s="8">
        <f>LOOKUP(EOMONTH(A968,0),Target_Prices!A$2:A$38,Target_Prices!J$2:J$38)</f>
        <v>5.0194099999999997</v>
      </c>
      <c r="E968">
        <f t="shared" si="32"/>
        <v>-1.8755069312313077E-2</v>
      </c>
      <c r="F968">
        <f t="shared" si="33"/>
        <v>0.39041824403273551</v>
      </c>
    </row>
    <row r="969" spans="1:6" x14ac:dyDescent="0.35">
      <c r="A969" s="16">
        <v>45412</v>
      </c>
      <c r="B969" t="s">
        <v>2</v>
      </c>
      <c r="C969" s="3">
        <v>3.5259999999999998</v>
      </c>
      <c r="D969" s="8">
        <f>LOOKUP(EOMONTH(A969,0),Target_Prices!A$2:A$38,Target_Prices!J$2:J$38)</f>
        <v>5.0194099999999997</v>
      </c>
      <c r="E969">
        <f t="shared" si="32"/>
        <v>-2.3268725117209899E-2</v>
      </c>
      <c r="F969">
        <f t="shared" si="33"/>
        <v>0.42354225751559843</v>
      </c>
    </row>
    <row r="970" spans="1:6" x14ac:dyDescent="0.35">
      <c r="A970" s="15">
        <v>45443</v>
      </c>
      <c r="B970" t="s">
        <v>2</v>
      </c>
      <c r="C970" s="4">
        <v>3.7309999999999999</v>
      </c>
      <c r="D970" s="8">
        <f>LOOKUP(EOMONTH(A970,0),Target_Prices!A$2:A$38,Target_Prices!J$2:J$38)</f>
        <v>5.0194099999999997</v>
      </c>
      <c r="E970">
        <f t="shared" si="32"/>
        <v>5.8139534883721034E-2</v>
      </c>
      <c r="F970">
        <f t="shared" si="33"/>
        <v>0.34532564995979625</v>
      </c>
    </row>
    <row r="971" spans="1:6" x14ac:dyDescent="0.35">
      <c r="A971" s="16">
        <v>45471</v>
      </c>
      <c r="B971" t="s">
        <v>2</v>
      </c>
      <c r="C971" s="3">
        <v>3.4990000000000001</v>
      </c>
      <c r="D971" s="8">
        <f>LOOKUP(EOMONTH(A971,0),Target_Prices!A$2:A$38,Target_Prices!J$2:J$38)</f>
        <v>4.6831300000000002</v>
      </c>
      <c r="E971">
        <f t="shared" si="32"/>
        <v>-6.2181720718306077E-2</v>
      </c>
      <c r="F971">
        <f t="shared" si="33"/>
        <v>0.33841954844241212</v>
      </c>
    </row>
    <row r="972" spans="1:6" x14ac:dyDescent="0.35">
      <c r="A972" s="15">
        <v>45504</v>
      </c>
      <c r="B972" t="s">
        <v>2</v>
      </c>
      <c r="C972" s="4">
        <v>3.8</v>
      </c>
      <c r="D972" s="8">
        <f>LOOKUP(EOMONTH(A972,0),Target_Prices!A$2:A$38,Target_Prices!J$2:J$38)</f>
        <v>4.6831300000000002</v>
      </c>
      <c r="E972">
        <f t="shared" si="32"/>
        <v>8.6024578450985878E-2</v>
      </c>
      <c r="F972">
        <f t="shared" si="33"/>
        <v>0.2324026315789475</v>
      </c>
    </row>
    <row r="973" spans="1:6" x14ac:dyDescent="0.35">
      <c r="A973" s="16">
        <v>45534</v>
      </c>
      <c r="B973" t="s">
        <v>2</v>
      </c>
      <c r="C973" s="3">
        <v>3.7959999999999998</v>
      </c>
      <c r="D973" s="8">
        <f>LOOKUP(EOMONTH(A973,0),Target_Prices!A$2:A$38,Target_Prices!J$2:J$38)</f>
        <v>4.6831300000000002</v>
      </c>
      <c r="E973">
        <f t="shared" si="32"/>
        <v>-1.0526315789474161E-3</v>
      </c>
      <c r="F973">
        <f t="shared" si="33"/>
        <v>0.23370126448893586</v>
      </c>
    </row>
    <row r="974" spans="1:6" x14ac:dyDescent="0.35">
      <c r="A974" s="15">
        <v>45565</v>
      </c>
      <c r="B974" t="s">
        <v>2</v>
      </c>
      <c r="C974" s="4">
        <v>4.1020000000000003</v>
      </c>
      <c r="D974" s="8">
        <f>LOOKUP(EOMONTH(A974,0),Target_Prices!A$2:A$38,Target_Prices!J$2:J$38)</f>
        <v>4.7147100000000002</v>
      </c>
      <c r="E974">
        <f t="shared" si="32"/>
        <v>8.0611169652265779E-2</v>
      </c>
      <c r="F974">
        <f t="shared" si="33"/>
        <v>0.14936860068259381</v>
      </c>
    </row>
    <row r="975" spans="1:6" x14ac:dyDescent="0.35">
      <c r="A975" s="16">
        <v>45596</v>
      </c>
      <c r="B975" t="s">
        <v>2</v>
      </c>
      <c r="C975" s="3">
        <v>3.6120000000000001</v>
      </c>
      <c r="D975" s="8">
        <f>LOOKUP(EOMONTH(A975,0),Target_Prices!A$2:A$38,Target_Prices!J$2:J$38)</f>
        <v>4.7147100000000002</v>
      </c>
      <c r="E975">
        <f t="shared" si="32"/>
        <v>-0.11945392491467577</v>
      </c>
      <c r="F975">
        <f t="shared" si="33"/>
        <v>0.30529069767441863</v>
      </c>
    </row>
    <row r="976" spans="1:6" x14ac:dyDescent="0.35">
      <c r="A976" s="15">
        <v>45625</v>
      </c>
      <c r="B976" t="s">
        <v>2</v>
      </c>
      <c r="C976" s="4">
        <v>3.4220000000000002</v>
      </c>
      <c r="D976" s="8">
        <f>LOOKUP(EOMONTH(A976,0),Target_Prices!A$2:A$38,Target_Prices!J$2:J$38)</f>
        <v>4.7147100000000002</v>
      </c>
      <c r="E976">
        <f t="shared" si="32"/>
        <v>-5.2602436323366586E-2</v>
      </c>
      <c r="F976">
        <f t="shared" si="33"/>
        <v>0.37776446522501461</v>
      </c>
    </row>
    <row r="977" spans="1:6" x14ac:dyDescent="0.35">
      <c r="A977" s="16">
        <v>45657</v>
      </c>
      <c r="B977" t="s">
        <v>2</v>
      </c>
      <c r="C977" s="3">
        <v>3.0910000000000002</v>
      </c>
      <c r="D977" s="8">
        <f>LOOKUP(EOMONTH(A977,0),Target_Prices!A$2:A$38,Target_Prices!J$2:J$38)</f>
        <v>4.2941200000000004</v>
      </c>
      <c r="E977">
        <f t="shared" si="32"/>
        <v>-9.6727060198714132E-2</v>
      </c>
      <c r="F977">
        <f t="shared" si="33"/>
        <v>0.38923325784535751</v>
      </c>
    </row>
    <row r="978" spans="1:6" x14ac:dyDescent="0.35">
      <c r="A978" s="15">
        <v>45688</v>
      </c>
      <c r="B978" t="s">
        <v>2</v>
      </c>
      <c r="C978" s="4">
        <v>3.036</v>
      </c>
      <c r="D978" s="8">
        <f>LOOKUP(EOMONTH(A978,0),Target_Prices!A$2:A$38,Target_Prices!J$2:J$38)</f>
        <v>4.2941200000000004</v>
      </c>
      <c r="E978">
        <f t="shared" si="32"/>
        <v>-1.7793594306049876E-2</v>
      </c>
      <c r="F978">
        <f t="shared" si="33"/>
        <v>0.41440052700922275</v>
      </c>
    </row>
    <row r="979" spans="1:6" x14ac:dyDescent="0.35">
      <c r="A979" s="16">
        <v>45716</v>
      </c>
      <c r="B979" t="s">
        <v>2</v>
      </c>
      <c r="C979" s="3">
        <v>3.11</v>
      </c>
      <c r="D979" s="8">
        <f>LOOKUP(EOMONTH(A979,0),Target_Prices!A$2:A$38,Target_Prices!J$2:J$38)</f>
        <v>4.2941200000000004</v>
      </c>
      <c r="E979">
        <f t="shared" si="32"/>
        <v>2.4374176548089599E-2</v>
      </c>
      <c r="F979">
        <f t="shared" si="33"/>
        <v>0.38074598070739568</v>
      </c>
    </row>
    <row r="980" spans="1:6" x14ac:dyDescent="0.35">
      <c r="A980" s="15">
        <v>45747</v>
      </c>
      <c r="B980" t="s">
        <v>2</v>
      </c>
      <c r="C980" s="4">
        <v>3.1120000000000001</v>
      </c>
      <c r="D980" s="8">
        <f>LOOKUP(EOMONTH(A980,0),Target_Prices!A$2:A$38,Target_Prices!J$2:J$38)</f>
        <v>3.8852899999999999</v>
      </c>
      <c r="E980">
        <f t="shared" si="32"/>
        <v>6.4308681672042844E-4</v>
      </c>
      <c r="F980">
        <f t="shared" si="33"/>
        <v>0.24848650385604107</v>
      </c>
    </row>
    <row r="981" spans="1:6" x14ac:dyDescent="0.35">
      <c r="A981" s="16">
        <v>45777</v>
      </c>
      <c r="B981" t="s">
        <v>2</v>
      </c>
      <c r="C981" s="3">
        <v>3.476</v>
      </c>
      <c r="D981" s="8">
        <f>LOOKUP(EOMONTH(A981,0),Target_Prices!A$2:A$38,Target_Prices!J$2:J$38)</f>
        <v>3.8852899999999999</v>
      </c>
      <c r="E981">
        <f t="shared" si="32"/>
        <v>0.11696658097686363</v>
      </c>
      <c r="F981">
        <f t="shared" si="33"/>
        <v>0.11774741081703105</v>
      </c>
    </row>
    <row r="982" spans="1:6" x14ac:dyDescent="0.35">
      <c r="A982" s="15">
        <v>45807</v>
      </c>
      <c r="B982" t="s">
        <v>2</v>
      </c>
      <c r="C982" s="4">
        <v>3.51</v>
      </c>
      <c r="D982" s="8">
        <f>LOOKUP(EOMONTH(A982,0),Target_Prices!A$2:A$38,Target_Prices!J$2:J$38)</f>
        <v>3.8852899999999999</v>
      </c>
      <c r="E982">
        <f t="shared" si="32"/>
        <v>9.7813578826235759E-3</v>
      </c>
      <c r="F982">
        <f t="shared" si="33"/>
        <v>0.10692022792022796</v>
      </c>
    </row>
    <row r="983" spans="1:6" x14ac:dyDescent="0.35">
      <c r="A983" s="16">
        <v>45838</v>
      </c>
      <c r="B983" t="s">
        <v>2</v>
      </c>
      <c r="C983" s="3">
        <v>3.6819999999999999</v>
      </c>
      <c r="D983" s="8">
        <f>LOOKUP(EOMONTH(A983,0),Target_Prices!A$2:A$38,Target_Prices!J$2:J$38)</f>
        <v>4.1074999999999999</v>
      </c>
      <c r="E983">
        <f t="shared" si="32"/>
        <v>4.9002849002849125E-2</v>
      </c>
      <c r="F983">
        <f t="shared" si="33"/>
        <v>0.11556219445953286</v>
      </c>
    </row>
    <row r="984" spans="1:6" x14ac:dyDescent="0.35">
      <c r="A984" s="15">
        <v>45869</v>
      </c>
      <c r="B984" t="s">
        <v>2</v>
      </c>
      <c r="C984" s="4">
        <v>3.786</v>
      </c>
      <c r="D984" s="8">
        <f>LOOKUP(EOMONTH(A984,0),Target_Prices!A$2:A$38,Target_Prices!J$2:J$38)</f>
        <v>4.1074999999999999</v>
      </c>
      <c r="E984">
        <f t="shared" si="32"/>
        <v>2.8245518739815401E-2</v>
      </c>
      <c r="F984">
        <f t="shared" si="33"/>
        <v>8.4918119387216037E-2</v>
      </c>
    </row>
    <row r="985" spans="1:6" x14ac:dyDescent="0.35">
      <c r="A985" s="16">
        <v>45898</v>
      </c>
      <c r="B985" t="s">
        <v>2</v>
      </c>
      <c r="C985" s="3">
        <v>3.7869999999999999</v>
      </c>
      <c r="D985" s="8">
        <f>LOOKUP(EOMONTH(A985,0),Target_Prices!A$2:A$38,Target_Prices!J$2:J$38)</f>
        <v>4.1074999999999999</v>
      </c>
      <c r="E985">
        <f t="shared" si="32"/>
        <v>2.6413100898037278E-4</v>
      </c>
      <c r="F985">
        <f t="shared" si="33"/>
        <v>8.4631634539213102E-2</v>
      </c>
    </row>
    <row r="986" spans="1:6" x14ac:dyDescent="0.35">
      <c r="A986" s="15">
        <v>45930</v>
      </c>
      <c r="B986" t="s">
        <v>2</v>
      </c>
      <c r="C986" s="4">
        <v>4.0369999999999999</v>
      </c>
      <c r="D986" s="8">
        <f>LOOKUP(EOMONTH(A986,0),Target_Prices!A$2:A$38,Target_Prices!J$2:J$38)</f>
        <v>4.3638899999999996</v>
      </c>
      <c r="E986">
        <f t="shared" si="32"/>
        <v>6.6015315553208387E-2</v>
      </c>
      <c r="F986">
        <f t="shared" si="33"/>
        <v>8.0973495169680373E-2</v>
      </c>
    </row>
    <row r="987" spans="1:6" x14ac:dyDescent="0.35">
      <c r="A987" s="16">
        <v>45961</v>
      </c>
      <c r="B987" t="s">
        <v>2</v>
      </c>
      <c r="C987" s="3">
        <v>4.3099999999999996</v>
      </c>
      <c r="D987" s="8">
        <f>LOOKUP(EOMONTH(A987,0),Target_Prices!A$2:A$38,Target_Prices!J$2:J$38)</f>
        <v>4.3638899999999996</v>
      </c>
      <c r="E987">
        <f t="shared" si="32"/>
        <v>6.7624473619023906E-2</v>
      </c>
      <c r="F987">
        <f t="shared" si="33"/>
        <v>1.2503480278422274E-2</v>
      </c>
    </row>
    <row r="988" spans="1:6" x14ac:dyDescent="0.35">
      <c r="A988" s="15">
        <v>45989</v>
      </c>
      <c r="B988" t="s">
        <v>2</v>
      </c>
      <c r="C988" s="4">
        <v>3.8460000000000001</v>
      </c>
      <c r="D988" s="8">
        <f>LOOKUP(EOMONTH(A988,0),Target_Prices!A$2:A$38,Target_Prices!J$2:J$38)</f>
        <v>4.3638899999999996</v>
      </c>
      <c r="E988">
        <f t="shared" si="32"/>
        <v>-0.10765661252900227</v>
      </c>
      <c r="F988">
        <f t="shared" si="33"/>
        <v>0.13465678627145072</v>
      </c>
    </row>
    <row r="989" spans="1:6" x14ac:dyDescent="0.35">
      <c r="A989" s="16">
        <v>46022</v>
      </c>
      <c r="B989" t="s">
        <v>2</v>
      </c>
      <c r="C989" s="3">
        <v>3.915</v>
      </c>
      <c r="D989" s="8">
        <f>LOOKUP(EOMONTH(A989,0),Target_Prices!A$2:A$38,Target_Prices!J$2:J$38)</f>
        <v>4.54</v>
      </c>
      <c r="E989">
        <f t="shared" si="32"/>
        <v>1.7940717628705194E-2</v>
      </c>
      <c r="F989">
        <f t="shared" si="33"/>
        <v>0.15964240102171137</v>
      </c>
    </row>
    <row r="990" spans="1:6" x14ac:dyDescent="0.35">
      <c r="A990" s="15">
        <v>46052</v>
      </c>
      <c r="B990" t="s">
        <v>2</v>
      </c>
      <c r="C990" s="4">
        <v>4.3170000000000002</v>
      </c>
      <c r="D990" s="8">
        <f>LOOKUP(EOMONTH(A990,0),Target_Prices!A$2:A$38,Target_Prices!J$2:J$38)</f>
        <v>4.54</v>
      </c>
      <c r="E990">
        <f t="shared" si="32"/>
        <v>0.10268199233716468</v>
      </c>
      <c r="F990">
        <f t="shared" si="33"/>
        <v>5.165624276117671E-2</v>
      </c>
    </row>
    <row r="991" spans="1:6" s="11" customFormat="1" x14ac:dyDescent="0.35">
      <c r="A991" s="15">
        <v>46080</v>
      </c>
      <c r="B991" s="11" t="s">
        <v>2</v>
      </c>
      <c r="C991" s="3">
        <v>4.516</v>
      </c>
      <c r="D991" s="14">
        <f>LOOKUP(EOMONTH(A991,0),Target_Prices!A$2:A$38,Target_Prices!J$2:J$38)</f>
        <v>4.54</v>
      </c>
      <c r="E991">
        <f t="shared" si="32"/>
        <v>4.6096826499884225E-2</v>
      </c>
      <c r="F991">
        <f t="shared" si="33"/>
        <v>5.3144375553587295E-3</v>
      </c>
    </row>
    <row r="992" spans="1:6" x14ac:dyDescent="0.35">
      <c r="A992" s="15">
        <v>42766</v>
      </c>
      <c r="B992" t="s">
        <v>3</v>
      </c>
      <c r="C992" s="4">
        <v>12.255000000000001</v>
      </c>
      <c r="D992" s="8">
        <f>LOOKUP(EOMONTH(A992,0),Target_Prices!A$2:A$38,Target_Prices!K$2:K$38)</f>
        <v>13.4582</v>
      </c>
      <c r="F992">
        <f t="shared" si="33"/>
        <v>9.8180334557323445E-2</v>
      </c>
    </row>
    <row r="993" spans="1:6" x14ac:dyDescent="0.35">
      <c r="A993" s="16">
        <v>42794</v>
      </c>
      <c r="B993" t="s">
        <v>3</v>
      </c>
      <c r="C993" s="3">
        <v>13.455</v>
      </c>
      <c r="D993" s="8">
        <f>LOOKUP(EOMONTH(A993,0),Target_Prices!A$2:A$38,Target_Prices!K$2:K$38)</f>
        <v>13.4582</v>
      </c>
      <c r="E993">
        <f>(C993/C992)-1</f>
        <v>9.7919216646266793E-2</v>
      </c>
      <c r="F993">
        <f t="shared" si="33"/>
        <v>2.3782980304716815E-4</v>
      </c>
    </row>
    <row r="994" spans="1:6" x14ac:dyDescent="0.35">
      <c r="A994" s="15">
        <v>42825</v>
      </c>
      <c r="B994" t="s">
        <v>3</v>
      </c>
      <c r="C994" s="4">
        <v>15.535</v>
      </c>
      <c r="D994" s="8">
        <f>LOOKUP(EOMONTH(A994,0),Target_Prices!A$2:A$38,Target_Prices!K$2:K$38)</f>
        <v>14.6578</v>
      </c>
      <c r="E994">
        <f t="shared" ref="E994:E1057" si="34">(C994/C993)-1</f>
        <v>0.15458937198067635</v>
      </c>
      <c r="F994">
        <f t="shared" si="33"/>
        <v>-5.646604441583522E-2</v>
      </c>
    </row>
    <row r="995" spans="1:6" x14ac:dyDescent="0.35">
      <c r="A995" s="16">
        <v>42853</v>
      </c>
      <c r="B995" t="s">
        <v>3</v>
      </c>
      <c r="C995" s="3">
        <v>15.205</v>
      </c>
      <c r="D995" s="8">
        <f>LOOKUP(EOMONTH(A995,0),Target_Prices!A$2:A$38,Target_Prices!K$2:K$38)</f>
        <v>14.6578</v>
      </c>
      <c r="E995">
        <f t="shared" si="34"/>
        <v>-2.1242355970389482E-2</v>
      </c>
      <c r="F995">
        <f t="shared" si="33"/>
        <v>-3.5988161788885246E-2</v>
      </c>
    </row>
    <row r="996" spans="1:6" x14ac:dyDescent="0.35">
      <c r="A996" s="15">
        <v>42886</v>
      </c>
      <c r="B996" t="s">
        <v>3</v>
      </c>
      <c r="C996" s="4">
        <v>18.079999999999998</v>
      </c>
      <c r="D996" s="8">
        <f>LOOKUP(EOMONTH(A996,0),Target_Prices!A$2:A$38,Target_Prices!K$2:K$38)</f>
        <v>14.6578</v>
      </c>
      <c r="E996">
        <f t="shared" si="34"/>
        <v>0.18908253863860569</v>
      </c>
      <c r="F996">
        <f t="shared" si="33"/>
        <v>-0.18928097345132736</v>
      </c>
    </row>
    <row r="997" spans="1:6" x14ac:dyDescent="0.35">
      <c r="A997" s="16">
        <v>42916</v>
      </c>
      <c r="B997" t="s">
        <v>3</v>
      </c>
      <c r="C997" s="3">
        <v>17.445</v>
      </c>
      <c r="D997" s="8">
        <f>LOOKUP(EOMONTH(A997,0),Target_Prices!A$2:A$38,Target_Prices!K$2:K$38)</f>
        <v>18.7515</v>
      </c>
      <c r="E997">
        <f t="shared" si="34"/>
        <v>-3.5121681415929085E-2</v>
      </c>
      <c r="F997">
        <f t="shared" si="33"/>
        <v>7.4892519346517611E-2</v>
      </c>
    </row>
    <row r="998" spans="1:6" x14ac:dyDescent="0.35">
      <c r="A998" s="15">
        <v>42947</v>
      </c>
      <c r="B998" t="s">
        <v>3</v>
      </c>
      <c r="C998" s="4">
        <v>17.815000000000001</v>
      </c>
      <c r="D998" s="8">
        <f>LOOKUP(EOMONTH(A998,0),Target_Prices!A$2:A$38,Target_Prices!K$2:K$38)</f>
        <v>18.7515</v>
      </c>
      <c r="E998">
        <f t="shared" si="34"/>
        <v>2.1209515620521646E-2</v>
      </c>
      <c r="F998">
        <f t="shared" si="33"/>
        <v>5.2568060623070373E-2</v>
      </c>
    </row>
    <row r="999" spans="1:6" x14ac:dyDescent="0.35">
      <c r="A999" s="16">
        <v>42978</v>
      </c>
      <c r="B999" t="s">
        <v>3</v>
      </c>
      <c r="C999" s="3">
        <v>20.954999999999998</v>
      </c>
      <c r="D999" s="8">
        <f>LOOKUP(EOMONTH(A999,0),Target_Prices!A$2:A$38,Target_Prices!K$2:K$38)</f>
        <v>18.7515</v>
      </c>
      <c r="E999">
        <f t="shared" si="34"/>
        <v>0.17625596407521726</v>
      </c>
      <c r="F999">
        <f t="shared" si="33"/>
        <v>-0.10515390121689326</v>
      </c>
    </row>
    <row r="1000" spans="1:6" x14ac:dyDescent="0.35">
      <c r="A1000" s="15">
        <v>43007</v>
      </c>
      <c r="B1000" t="s">
        <v>3</v>
      </c>
      <c r="C1000" s="4">
        <v>19.22</v>
      </c>
      <c r="D1000" s="8">
        <f>LOOKUP(EOMONTH(A1000,0),Target_Prices!A$2:A$38,Target_Prices!K$2:K$38)</f>
        <v>20.469100000000001</v>
      </c>
      <c r="E1000">
        <f t="shared" si="34"/>
        <v>-8.2796468623240305E-2</v>
      </c>
      <c r="F1000">
        <f t="shared" si="33"/>
        <v>6.498959417273685E-2</v>
      </c>
    </row>
    <row r="1001" spans="1:6" x14ac:dyDescent="0.35">
      <c r="A1001" s="16">
        <v>43039</v>
      </c>
      <c r="B1001" t="s">
        <v>3</v>
      </c>
      <c r="C1001" s="3">
        <v>21.46</v>
      </c>
      <c r="D1001" s="8">
        <f>LOOKUP(EOMONTH(A1001,0),Target_Prices!A$2:A$38,Target_Prices!K$2:K$38)</f>
        <v>20.469100000000001</v>
      </c>
      <c r="E1001">
        <f t="shared" si="34"/>
        <v>0.11654526534859522</v>
      </c>
      <c r="F1001">
        <f t="shared" si="33"/>
        <v>-4.6174277726001856E-2</v>
      </c>
    </row>
    <row r="1002" spans="1:6" x14ac:dyDescent="0.35">
      <c r="A1002" s="15">
        <v>43069</v>
      </c>
      <c r="B1002" t="s">
        <v>3</v>
      </c>
      <c r="C1002" s="4">
        <v>19.25</v>
      </c>
      <c r="D1002" s="8">
        <f>LOOKUP(EOMONTH(A1002,0),Target_Prices!A$2:A$38,Target_Prices!K$2:K$38)</f>
        <v>20.469100000000001</v>
      </c>
      <c r="E1002">
        <f t="shared" si="34"/>
        <v>-0.10298229263746506</v>
      </c>
      <c r="F1002">
        <f t="shared" si="33"/>
        <v>6.332987012987018E-2</v>
      </c>
    </row>
    <row r="1003" spans="1:6" x14ac:dyDescent="0.35">
      <c r="A1003" s="16">
        <v>43098</v>
      </c>
      <c r="B1003" t="s">
        <v>3</v>
      </c>
      <c r="C1003" s="3">
        <v>17</v>
      </c>
      <c r="D1003" s="8">
        <f>LOOKUP(EOMONTH(A1003,0),Target_Prices!A$2:A$38,Target_Prices!K$2:K$38)</f>
        <v>20.449100000000001</v>
      </c>
      <c r="E1003">
        <f t="shared" si="34"/>
        <v>-0.11688311688311692</v>
      </c>
      <c r="F1003">
        <f t="shared" si="33"/>
        <v>0.20288823529411773</v>
      </c>
    </row>
    <row r="1004" spans="1:6" x14ac:dyDescent="0.35">
      <c r="A1004" s="15">
        <v>43131</v>
      </c>
      <c r="B1004" t="s">
        <v>3</v>
      </c>
      <c r="C1004" s="4">
        <v>16.12</v>
      </c>
      <c r="D1004" s="8">
        <f>LOOKUP(EOMONTH(A1004,0),Target_Prices!A$2:A$38,Target_Prices!K$2:K$38)</f>
        <v>20.449100000000001</v>
      </c>
      <c r="E1004">
        <f t="shared" si="34"/>
        <v>-5.1764705882352935E-2</v>
      </c>
      <c r="F1004">
        <f t="shared" si="33"/>
        <v>0.26855459057071962</v>
      </c>
    </row>
    <row r="1005" spans="1:6" x14ac:dyDescent="0.35">
      <c r="A1005" s="16">
        <v>43159</v>
      </c>
      <c r="B1005" t="s">
        <v>3</v>
      </c>
      <c r="C1005" s="3">
        <v>16.41</v>
      </c>
      <c r="D1005" s="8">
        <f>LOOKUP(EOMONTH(A1005,0),Target_Prices!A$2:A$38,Target_Prices!K$2:K$38)</f>
        <v>20.449100000000001</v>
      </c>
      <c r="E1005">
        <f t="shared" si="34"/>
        <v>1.7990074441687209E-2</v>
      </c>
      <c r="F1005">
        <f t="shared" si="33"/>
        <v>0.24613650213284591</v>
      </c>
    </row>
    <row r="1006" spans="1:6" x14ac:dyDescent="0.35">
      <c r="A1006" s="15">
        <v>43189</v>
      </c>
      <c r="B1006" t="s">
        <v>3</v>
      </c>
      <c r="C1006" s="4">
        <v>20.059999999999999</v>
      </c>
      <c r="D1006" s="8">
        <f>LOOKUP(EOMONTH(A1006,0),Target_Prices!A$2:A$38,Target_Prices!K$2:K$38)</f>
        <v>21.085999999999999</v>
      </c>
      <c r="E1006">
        <f t="shared" si="34"/>
        <v>0.22242535039609979</v>
      </c>
      <c r="F1006">
        <f t="shared" si="33"/>
        <v>5.1146560319042862E-2</v>
      </c>
    </row>
    <row r="1007" spans="1:6" x14ac:dyDescent="0.35">
      <c r="A1007" s="16">
        <v>43220</v>
      </c>
      <c r="B1007" t="s">
        <v>3</v>
      </c>
      <c r="C1007" s="3">
        <v>19.875</v>
      </c>
      <c r="D1007" s="8">
        <f>LOOKUP(EOMONTH(A1007,0),Target_Prices!A$2:A$38,Target_Prices!K$2:K$38)</f>
        <v>21.085999999999999</v>
      </c>
      <c r="E1007">
        <f t="shared" si="34"/>
        <v>-9.2223330009969517E-3</v>
      </c>
      <c r="F1007">
        <f t="shared" si="33"/>
        <v>6.0930817610062818E-2</v>
      </c>
    </row>
    <row r="1008" spans="1:6" x14ac:dyDescent="0.35">
      <c r="A1008" s="15">
        <v>43251</v>
      </c>
      <c r="B1008" t="s">
        <v>3</v>
      </c>
      <c r="C1008" s="4">
        <v>19.395</v>
      </c>
      <c r="D1008" s="8">
        <f>LOOKUP(EOMONTH(A1008,0),Target_Prices!A$2:A$38,Target_Prices!K$2:K$38)</f>
        <v>21.085999999999999</v>
      </c>
      <c r="E1008">
        <f t="shared" si="34"/>
        <v>-2.4150943396226476E-2</v>
      </c>
      <c r="F1008">
        <f t="shared" si="33"/>
        <v>8.7187419437999431E-2</v>
      </c>
    </row>
    <row r="1009" spans="1:6" x14ac:dyDescent="0.35">
      <c r="A1009" s="16">
        <v>43280</v>
      </c>
      <c r="B1009" t="s">
        <v>3</v>
      </c>
      <c r="C1009" s="3">
        <v>19.524999999999999</v>
      </c>
      <c r="D1009" s="8">
        <f>LOOKUP(EOMONTH(A1009,0),Target_Prices!A$2:A$38,Target_Prices!K$2:K$38)</f>
        <v>22.565200000000001</v>
      </c>
      <c r="E1009">
        <f t="shared" si="34"/>
        <v>6.7027584428975828E-3</v>
      </c>
      <c r="F1009">
        <f t="shared" si="33"/>
        <v>0.15570806658130615</v>
      </c>
    </row>
    <row r="1010" spans="1:6" x14ac:dyDescent="0.35">
      <c r="A1010" s="15">
        <v>43312</v>
      </c>
      <c r="B1010" t="s">
        <v>3</v>
      </c>
      <c r="C1010" s="4">
        <v>22.44</v>
      </c>
      <c r="D1010" s="8">
        <f>LOOKUP(EOMONTH(A1010,0),Target_Prices!A$2:A$38,Target_Prices!K$2:K$38)</f>
        <v>22.565200000000001</v>
      </c>
      <c r="E1010">
        <f t="shared" si="34"/>
        <v>0.14929577464788757</v>
      </c>
      <c r="F1010">
        <f t="shared" si="33"/>
        <v>5.5793226381461464E-3</v>
      </c>
    </row>
    <row r="1011" spans="1:6" x14ac:dyDescent="0.35">
      <c r="A1011" s="16">
        <v>43343</v>
      </c>
      <c r="B1011" t="s">
        <v>3</v>
      </c>
      <c r="C1011" s="3">
        <v>21.85</v>
      </c>
      <c r="D1011" s="8">
        <f>LOOKUP(EOMONTH(A1011,0),Target_Prices!A$2:A$38,Target_Prices!K$2:K$38)</f>
        <v>22.565200000000001</v>
      </c>
      <c r="E1011">
        <f t="shared" si="34"/>
        <v>-2.6292335115864485E-2</v>
      </c>
      <c r="F1011">
        <f t="shared" si="33"/>
        <v>3.2732265446224228E-2</v>
      </c>
    </row>
    <row r="1012" spans="1:6" x14ac:dyDescent="0.35">
      <c r="A1012" s="15">
        <v>43371</v>
      </c>
      <c r="B1012" t="s">
        <v>3</v>
      </c>
      <c r="C1012" s="4">
        <v>21.25</v>
      </c>
      <c r="D1012" s="8">
        <f>LOOKUP(EOMONTH(A1012,0),Target_Prices!A$2:A$38,Target_Prices!K$2:K$38)</f>
        <v>24.684999999999999</v>
      </c>
      <c r="E1012">
        <f t="shared" si="34"/>
        <v>-2.7459954233409634E-2</v>
      </c>
      <c r="F1012">
        <f t="shared" si="33"/>
        <v>0.16164705882352934</v>
      </c>
    </row>
    <row r="1013" spans="1:6" x14ac:dyDescent="0.35">
      <c r="A1013" s="16">
        <v>43404</v>
      </c>
      <c r="B1013" t="s">
        <v>3</v>
      </c>
      <c r="C1013" s="3">
        <v>17.22</v>
      </c>
      <c r="D1013" s="8">
        <f>LOOKUP(EOMONTH(A1013,0),Target_Prices!A$2:A$38,Target_Prices!K$2:K$38)</f>
        <v>24.684999999999999</v>
      </c>
      <c r="E1013">
        <f t="shared" si="34"/>
        <v>-0.1896470588235295</v>
      </c>
      <c r="F1013">
        <f t="shared" si="33"/>
        <v>0.43350754936120794</v>
      </c>
    </row>
    <row r="1014" spans="1:6" x14ac:dyDescent="0.35">
      <c r="A1014" s="15">
        <v>43434</v>
      </c>
      <c r="B1014" t="s">
        <v>3</v>
      </c>
      <c r="C1014" s="4">
        <v>19.065000000000001</v>
      </c>
      <c r="D1014" s="8">
        <f>LOOKUP(EOMONTH(A1014,0),Target_Prices!A$2:A$38,Target_Prices!K$2:K$38)</f>
        <v>24.684999999999999</v>
      </c>
      <c r="E1014">
        <f t="shared" si="34"/>
        <v>0.10714285714285721</v>
      </c>
      <c r="F1014">
        <f t="shared" si="33"/>
        <v>0.29478101232625215</v>
      </c>
    </row>
    <row r="1015" spans="1:6" x14ac:dyDescent="0.35">
      <c r="A1015" s="16">
        <v>43465</v>
      </c>
      <c r="B1015" t="s">
        <v>3</v>
      </c>
      <c r="C1015" s="3">
        <v>18.965</v>
      </c>
      <c r="D1015" s="8">
        <f>LOOKUP(EOMONTH(A1015,0),Target_Prices!A$2:A$38,Target_Prices!K$2:K$38)</f>
        <v>22.396699999999999</v>
      </c>
      <c r="E1015">
        <f t="shared" si="34"/>
        <v>-5.2452137424601197E-3</v>
      </c>
      <c r="F1015">
        <f t="shared" si="33"/>
        <v>0.18094911679409434</v>
      </c>
    </row>
    <row r="1016" spans="1:6" x14ac:dyDescent="0.35">
      <c r="A1016" s="15">
        <v>43496</v>
      </c>
      <c r="B1016" t="s">
        <v>3</v>
      </c>
      <c r="C1016" s="4">
        <v>21.64</v>
      </c>
      <c r="D1016" s="8">
        <f>LOOKUP(EOMONTH(A1016,0),Target_Prices!A$2:A$38,Target_Prices!K$2:K$38)</f>
        <v>22.396699999999999</v>
      </c>
      <c r="E1016">
        <f t="shared" si="34"/>
        <v>0.14104930134458216</v>
      </c>
      <c r="F1016">
        <f t="shared" si="33"/>
        <v>3.4967652495378865E-2</v>
      </c>
    </row>
    <row r="1017" spans="1:6" x14ac:dyDescent="0.35">
      <c r="A1017" s="16">
        <v>43524</v>
      </c>
      <c r="B1017" t="s">
        <v>3</v>
      </c>
      <c r="C1017" s="3">
        <v>21.46</v>
      </c>
      <c r="D1017" s="8">
        <f>LOOKUP(EOMONTH(A1017,0),Target_Prices!A$2:A$38,Target_Prices!K$2:K$38)</f>
        <v>22.396699999999999</v>
      </c>
      <c r="E1017">
        <f t="shared" si="34"/>
        <v>-8.3179297597042456E-3</v>
      </c>
      <c r="F1017">
        <f t="shared" si="33"/>
        <v>4.3648648648648571E-2</v>
      </c>
    </row>
    <row r="1018" spans="1:6" x14ac:dyDescent="0.35">
      <c r="A1018" s="15">
        <v>43553</v>
      </c>
      <c r="B1018" t="s">
        <v>3</v>
      </c>
      <c r="C1018" s="4">
        <v>23.9</v>
      </c>
      <c r="D1018" s="8">
        <f>LOOKUP(EOMONTH(A1018,0),Target_Prices!A$2:A$38,Target_Prices!K$2:K$38)</f>
        <v>24.092500000000001</v>
      </c>
      <c r="E1018">
        <f t="shared" si="34"/>
        <v>0.11369990680335507</v>
      </c>
      <c r="F1018">
        <f t="shared" si="33"/>
        <v>8.0543933054394376E-3</v>
      </c>
    </row>
    <row r="1019" spans="1:6" x14ac:dyDescent="0.35">
      <c r="A1019" s="16">
        <v>43585</v>
      </c>
      <c r="B1019" t="s">
        <v>3</v>
      </c>
      <c r="C1019" s="3">
        <v>22.77</v>
      </c>
      <c r="D1019" s="8">
        <f>LOOKUP(EOMONTH(A1019,0),Target_Prices!A$2:A$38,Target_Prices!K$2:K$38)</f>
        <v>24.092500000000001</v>
      </c>
      <c r="E1019">
        <f t="shared" si="34"/>
        <v>-4.7280334728033391E-2</v>
      </c>
      <c r="F1019">
        <f t="shared" si="33"/>
        <v>5.8080808080808149E-2</v>
      </c>
    </row>
    <row r="1020" spans="1:6" x14ac:dyDescent="0.35">
      <c r="A1020" s="15">
        <v>43616</v>
      </c>
      <c r="B1020" t="s">
        <v>3</v>
      </c>
      <c r="C1020" s="4">
        <v>22.36</v>
      </c>
      <c r="D1020" s="8">
        <f>LOOKUP(EOMONTH(A1020,0),Target_Prices!A$2:A$38,Target_Prices!K$2:K$38)</f>
        <v>24.092500000000001</v>
      </c>
      <c r="E1020">
        <f t="shared" si="34"/>
        <v>-1.8006148440931069E-2</v>
      </c>
      <c r="F1020">
        <f t="shared" si="33"/>
        <v>7.7482110912343555E-2</v>
      </c>
    </row>
    <row r="1021" spans="1:6" x14ac:dyDescent="0.35">
      <c r="A1021" s="16">
        <v>43644</v>
      </c>
      <c r="B1021" t="s">
        <v>3</v>
      </c>
      <c r="C1021" s="3">
        <v>21.67</v>
      </c>
      <c r="D1021" s="8">
        <f>LOOKUP(EOMONTH(A1021,0),Target_Prices!A$2:A$38,Target_Prices!K$2:K$38)</f>
        <v>25.497399999999999</v>
      </c>
      <c r="E1021">
        <f t="shared" si="34"/>
        <v>-3.0858676207513369E-2</v>
      </c>
      <c r="F1021">
        <f t="shared" si="33"/>
        <v>0.17662205814490065</v>
      </c>
    </row>
    <row r="1022" spans="1:6" x14ac:dyDescent="0.35">
      <c r="A1022" s="15">
        <v>43677</v>
      </c>
      <c r="B1022" t="s">
        <v>3</v>
      </c>
      <c r="C1022" s="4">
        <v>24.46</v>
      </c>
      <c r="D1022" s="8">
        <f>LOOKUP(EOMONTH(A1022,0),Target_Prices!A$2:A$38,Target_Prices!K$2:K$38)</f>
        <v>25.497399999999999</v>
      </c>
      <c r="E1022">
        <f t="shared" si="34"/>
        <v>0.12874942316566673</v>
      </c>
      <c r="F1022">
        <f t="shared" si="33"/>
        <v>4.2412101390024451E-2</v>
      </c>
    </row>
    <row r="1023" spans="1:6" x14ac:dyDescent="0.35">
      <c r="A1023" s="16">
        <v>43707</v>
      </c>
      <c r="B1023" t="s">
        <v>3</v>
      </c>
      <c r="C1023" s="3">
        <v>25.91</v>
      </c>
      <c r="D1023" s="8">
        <f>LOOKUP(EOMONTH(A1023,0),Target_Prices!A$2:A$38,Target_Prices!K$2:K$38)</f>
        <v>25.497399999999999</v>
      </c>
      <c r="E1023">
        <f t="shared" si="34"/>
        <v>5.9280457890433347E-2</v>
      </c>
      <c r="F1023">
        <f t="shared" si="33"/>
        <v>-1.5924353531455084E-2</v>
      </c>
    </row>
    <row r="1024" spans="1:6" x14ac:dyDescent="0.35">
      <c r="A1024" s="15">
        <v>43738</v>
      </c>
      <c r="B1024" t="s">
        <v>3</v>
      </c>
      <c r="C1024" s="4">
        <v>28.69</v>
      </c>
      <c r="D1024" s="8">
        <f>LOOKUP(EOMONTH(A1024,0),Target_Prices!A$2:A$38,Target_Prices!K$2:K$38)</f>
        <v>28.214300000000001</v>
      </c>
      <c r="E1024">
        <f t="shared" si="34"/>
        <v>0.10729448089540727</v>
      </c>
      <c r="F1024">
        <f t="shared" si="33"/>
        <v>-1.6580690135935858E-2</v>
      </c>
    </row>
    <row r="1025" spans="1:6" x14ac:dyDescent="0.35">
      <c r="A1025" s="16">
        <v>43769</v>
      </c>
      <c r="B1025" t="s">
        <v>3</v>
      </c>
      <c r="C1025" s="3">
        <v>27.33</v>
      </c>
      <c r="D1025" s="8">
        <f>LOOKUP(EOMONTH(A1025,0),Target_Prices!A$2:A$38,Target_Prices!K$2:K$38)</f>
        <v>28.214300000000001</v>
      </c>
      <c r="E1025">
        <f t="shared" si="34"/>
        <v>-4.7403276402927963E-2</v>
      </c>
      <c r="F1025">
        <f t="shared" si="33"/>
        <v>3.2356384924990975E-2</v>
      </c>
    </row>
    <row r="1026" spans="1:6" x14ac:dyDescent="0.35">
      <c r="A1026" s="15">
        <v>43798</v>
      </c>
      <c r="B1026" t="s">
        <v>3</v>
      </c>
      <c r="C1026" s="4">
        <v>26.91</v>
      </c>
      <c r="D1026" s="8">
        <f>LOOKUP(EOMONTH(A1026,0),Target_Prices!A$2:A$38,Target_Prices!K$2:K$38)</f>
        <v>28.214300000000001</v>
      </c>
      <c r="E1026">
        <f t="shared" si="34"/>
        <v>-1.5367727771679385E-2</v>
      </c>
      <c r="F1026">
        <f t="shared" si="33"/>
        <v>4.8468970642883739E-2</v>
      </c>
    </row>
    <row r="1027" spans="1:6" x14ac:dyDescent="0.35">
      <c r="A1027" s="16">
        <v>43830</v>
      </c>
      <c r="B1027" t="s">
        <v>3</v>
      </c>
      <c r="C1027" s="3">
        <v>27.35</v>
      </c>
      <c r="D1027" s="8">
        <f>LOOKUP(EOMONTH(A1027,0),Target_Prices!A$2:A$38,Target_Prices!K$2:K$38)</f>
        <v>28.909099999999999</v>
      </c>
      <c r="E1027">
        <f t="shared" si="34"/>
        <v>1.635079895949465E-2</v>
      </c>
      <c r="F1027">
        <f t="shared" ref="F1027:F1090" si="35">(D1027-C1027)/C1027</f>
        <v>5.7005484460694596E-2</v>
      </c>
    </row>
    <row r="1028" spans="1:6" x14ac:dyDescent="0.35">
      <c r="A1028" s="15">
        <v>43861</v>
      </c>
      <c r="B1028" t="s">
        <v>3</v>
      </c>
      <c r="C1028" s="4">
        <v>31.34</v>
      </c>
      <c r="D1028" s="8">
        <f>LOOKUP(EOMONTH(A1028,0),Target_Prices!A$2:A$38,Target_Prices!K$2:K$38)</f>
        <v>28.909099999999999</v>
      </c>
      <c r="E1028">
        <f t="shared" si="34"/>
        <v>0.14588665447897609</v>
      </c>
      <c r="F1028">
        <f t="shared" si="35"/>
        <v>-7.7565411614550134E-2</v>
      </c>
    </row>
    <row r="1029" spans="1:6" x14ac:dyDescent="0.35">
      <c r="A1029" s="16">
        <v>43889</v>
      </c>
      <c r="B1029" t="s">
        <v>3</v>
      </c>
      <c r="C1029" s="3">
        <v>31.16</v>
      </c>
      <c r="D1029" s="8">
        <f>LOOKUP(EOMONTH(A1029,0),Target_Prices!A$2:A$38,Target_Prices!K$2:K$38)</f>
        <v>28.909099999999999</v>
      </c>
      <c r="E1029">
        <f t="shared" si="34"/>
        <v>-5.7434588385449903E-3</v>
      </c>
      <c r="F1029">
        <f t="shared" si="35"/>
        <v>-7.223684210526321E-2</v>
      </c>
    </row>
    <row r="1030" spans="1:6" x14ac:dyDescent="0.35">
      <c r="A1030" s="15">
        <v>43921</v>
      </c>
      <c r="B1030" t="s">
        <v>3</v>
      </c>
      <c r="C1030" s="4">
        <v>23.96</v>
      </c>
      <c r="D1030" s="8">
        <f>LOOKUP(EOMONTH(A1030,0),Target_Prices!A$2:A$38,Target_Prices!K$2:K$38)</f>
        <v>31.681799999999999</v>
      </c>
      <c r="E1030">
        <f t="shared" si="34"/>
        <v>-0.23106546854942234</v>
      </c>
      <c r="F1030">
        <f t="shared" si="35"/>
        <v>0.32227879799666104</v>
      </c>
    </row>
    <row r="1031" spans="1:6" x14ac:dyDescent="0.35">
      <c r="A1031" s="16">
        <v>43951</v>
      </c>
      <c r="B1031" t="s">
        <v>3</v>
      </c>
      <c r="C1031" s="3">
        <v>26.24</v>
      </c>
      <c r="D1031" s="8">
        <f>LOOKUP(EOMONTH(A1031,0),Target_Prices!A$2:A$38,Target_Prices!K$2:K$38)</f>
        <v>31.681799999999999</v>
      </c>
      <c r="E1031">
        <f t="shared" si="34"/>
        <v>9.5158597662771127E-2</v>
      </c>
      <c r="F1031">
        <f t="shared" si="35"/>
        <v>0.20738567073170736</v>
      </c>
    </row>
    <row r="1032" spans="1:6" x14ac:dyDescent="0.35">
      <c r="A1032" s="15">
        <v>43980</v>
      </c>
      <c r="B1032" t="s">
        <v>3</v>
      </c>
      <c r="C1032" s="4">
        <v>29.79</v>
      </c>
      <c r="D1032" s="8">
        <f>LOOKUP(EOMONTH(A1032,0),Target_Prices!A$2:A$38,Target_Prices!K$2:K$38)</f>
        <v>31.681799999999999</v>
      </c>
      <c r="E1032">
        <f t="shared" si="34"/>
        <v>0.13528963414634143</v>
      </c>
      <c r="F1032">
        <f t="shared" si="35"/>
        <v>6.3504531722054378E-2</v>
      </c>
    </row>
    <row r="1033" spans="1:6" x14ac:dyDescent="0.35">
      <c r="A1033" s="16">
        <v>44012</v>
      </c>
      <c r="B1033" t="s">
        <v>3</v>
      </c>
      <c r="C1033" s="3">
        <v>31.11</v>
      </c>
      <c r="D1033" s="8">
        <f>LOOKUP(EOMONTH(A1033,0),Target_Prices!A$2:A$38,Target_Prices!K$2:K$38)</f>
        <v>32.450000000000003</v>
      </c>
      <c r="E1033">
        <f t="shared" si="34"/>
        <v>4.4310171198388648E-2</v>
      </c>
      <c r="F1033">
        <f t="shared" si="35"/>
        <v>4.3072966891674815E-2</v>
      </c>
    </row>
    <row r="1034" spans="1:6" x14ac:dyDescent="0.35">
      <c r="A1034" s="15">
        <v>44043</v>
      </c>
      <c r="B1034" t="s">
        <v>3</v>
      </c>
      <c r="C1034" s="4">
        <v>31.98</v>
      </c>
      <c r="D1034" s="8">
        <f>LOOKUP(EOMONTH(A1034,0),Target_Prices!A$2:A$38,Target_Prices!K$2:K$38)</f>
        <v>32.450000000000003</v>
      </c>
      <c r="E1034">
        <f t="shared" si="34"/>
        <v>2.7965284474445573E-2</v>
      </c>
      <c r="F1034">
        <f t="shared" si="35"/>
        <v>1.469668542839282E-2</v>
      </c>
    </row>
    <row r="1035" spans="1:6" x14ac:dyDescent="0.35">
      <c r="A1035" s="16">
        <v>44074</v>
      </c>
      <c r="B1035" t="s">
        <v>3</v>
      </c>
      <c r="C1035" s="3">
        <v>33.299999999999997</v>
      </c>
      <c r="D1035" s="8">
        <f>LOOKUP(EOMONTH(A1035,0),Target_Prices!A$2:A$38,Target_Prices!K$2:K$38)</f>
        <v>32.450000000000003</v>
      </c>
      <c r="E1035">
        <f t="shared" si="34"/>
        <v>4.1275797373358181E-2</v>
      </c>
      <c r="F1035">
        <f t="shared" si="35"/>
        <v>-2.5525525525525356E-2</v>
      </c>
    </row>
    <row r="1036" spans="1:6" x14ac:dyDescent="0.35">
      <c r="A1036" s="15">
        <v>44104</v>
      </c>
      <c r="B1036" t="s">
        <v>3</v>
      </c>
      <c r="C1036" s="4">
        <v>31.98</v>
      </c>
      <c r="D1036" s="8">
        <f>LOOKUP(EOMONTH(A1036,0),Target_Prices!A$2:A$38,Target_Prices!K$2:K$38)</f>
        <v>37.380000000000003</v>
      </c>
      <c r="E1036">
        <f t="shared" si="34"/>
        <v>-3.9639639639639568E-2</v>
      </c>
      <c r="F1036">
        <f t="shared" si="35"/>
        <v>0.16885553470919332</v>
      </c>
    </row>
    <row r="1037" spans="1:6" x14ac:dyDescent="0.35">
      <c r="A1037" s="16">
        <v>44134</v>
      </c>
      <c r="B1037" t="s">
        <v>3</v>
      </c>
      <c r="C1037" s="3">
        <v>31.79</v>
      </c>
      <c r="D1037" s="8">
        <f>LOOKUP(EOMONTH(A1037,0),Target_Prices!A$2:A$38,Target_Prices!K$2:K$38)</f>
        <v>37.380000000000003</v>
      </c>
      <c r="E1037">
        <f t="shared" si="34"/>
        <v>-5.9412132582864485E-3</v>
      </c>
      <c r="F1037">
        <f t="shared" si="35"/>
        <v>0.17584145957848391</v>
      </c>
    </row>
    <row r="1038" spans="1:6" x14ac:dyDescent="0.35">
      <c r="A1038" s="15">
        <v>44165</v>
      </c>
      <c r="B1038" t="s">
        <v>3</v>
      </c>
      <c r="C1038" s="4">
        <v>34.770000000000003</v>
      </c>
      <c r="D1038" s="8">
        <f>LOOKUP(EOMONTH(A1038,0),Target_Prices!A$2:A$38,Target_Prices!K$2:K$38)</f>
        <v>37.380000000000003</v>
      </c>
      <c r="E1038">
        <f t="shared" si="34"/>
        <v>9.3740169864737544E-2</v>
      </c>
      <c r="F1038">
        <f t="shared" si="35"/>
        <v>7.5064710957722144E-2</v>
      </c>
    </row>
    <row r="1039" spans="1:6" x14ac:dyDescent="0.35">
      <c r="A1039" s="16">
        <v>44196</v>
      </c>
      <c r="B1039" t="s">
        <v>3</v>
      </c>
      <c r="C1039" s="3">
        <v>34.57</v>
      </c>
      <c r="D1039" s="8">
        <f>LOOKUP(EOMONTH(A1039,0),Target_Prices!A$2:A$38,Target_Prices!K$2:K$38)</f>
        <v>39.58</v>
      </c>
      <c r="E1039">
        <f t="shared" si="34"/>
        <v>-5.7520851308600074E-3</v>
      </c>
      <c r="F1039">
        <f t="shared" si="35"/>
        <v>0.14492334393983217</v>
      </c>
    </row>
    <row r="1040" spans="1:6" x14ac:dyDescent="0.35">
      <c r="A1040" s="15">
        <v>44225</v>
      </c>
      <c r="B1040" t="s">
        <v>3</v>
      </c>
      <c r="C1040" s="4">
        <v>35.46</v>
      </c>
      <c r="D1040" s="8">
        <f>LOOKUP(EOMONTH(A1040,0),Target_Prices!A$2:A$38,Target_Prices!K$2:K$38)</f>
        <v>39.58</v>
      </c>
      <c r="E1040">
        <f t="shared" si="34"/>
        <v>2.5744865490309632E-2</v>
      </c>
      <c r="F1040">
        <f t="shared" si="35"/>
        <v>0.11618725324309073</v>
      </c>
    </row>
    <row r="1041" spans="1:6" x14ac:dyDescent="0.35">
      <c r="A1041" s="16">
        <v>44253</v>
      </c>
      <c r="B1041" t="s">
        <v>3</v>
      </c>
      <c r="C1041" s="3">
        <v>31.34</v>
      </c>
      <c r="D1041" s="8">
        <f>LOOKUP(EOMONTH(A1041,0),Target_Prices!A$2:A$38,Target_Prices!K$2:K$38)</f>
        <v>39.58</v>
      </c>
      <c r="E1041">
        <f t="shared" si="34"/>
        <v>-0.11618725324309087</v>
      </c>
      <c r="F1041">
        <f t="shared" si="35"/>
        <v>0.26292278238672617</v>
      </c>
    </row>
    <row r="1042" spans="1:6" x14ac:dyDescent="0.35">
      <c r="A1042" s="15">
        <v>44286</v>
      </c>
      <c r="B1042" t="s">
        <v>3</v>
      </c>
      <c r="C1042" s="4">
        <v>33.42</v>
      </c>
      <c r="D1042" s="8">
        <f>LOOKUP(EOMONTH(A1042,0),Target_Prices!A$2:A$38,Target_Prices!K$2:K$38)</f>
        <v>40.021700000000003</v>
      </c>
      <c r="E1042">
        <f t="shared" si="34"/>
        <v>6.6368857689853344E-2</v>
      </c>
      <c r="F1042">
        <f t="shared" si="35"/>
        <v>0.19753740275284262</v>
      </c>
    </row>
    <row r="1043" spans="1:6" x14ac:dyDescent="0.35">
      <c r="A1043" s="16">
        <v>44316</v>
      </c>
      <c r="B1043" t="s">
        <v>3</v>
      </c>
      <c r="C1043" s="3">
        <v>31.54</v>
      </c>
      <c r="D1043" s="8">
        <f>LOOKUP(EOMONTH(A1043,0),Target_Prices!A$2:A$38,Target_Prices!K$2:K$38)</f>
        <v>40.021700000000003</v>
      </c>
      <c r="E1043">
        <f t="shared" si="34"/>
        <v>-5.6253740275284292E-2</v>
      </c>
      <c r="F1043">
        <f t="shared" si="35"/>
        <v>0.26891883322764754</v>
      </c>
    </row>
    <row r="1044" spans="1:6" x14ac:dyDescent="0.35">
      <c r="A1044" s="15">
        <v>44347</v>
      </c>
      <c r="B1044" t="s">
        <v>3</v>
      </c>
      <c r="C1044" s="4">
        <v>30.85</v>
      </c>
      <c r="D1044" s="8">
        <f>LOOKUP(EOMONTH(A1044,0),Target_Prices!A$2:A$38,Target_Prices!K$2:K$38)</f>
        <v>40.021700000000003</v>
      </c>
      <c r="E1044">
        <f t="shared" si="34"/>
        <v>-2.1876981610653101E-2</v>
      </c>
      <c r="F1044">
        <f t="shared" si="35"/>
        <v>0.29729983792544573</v>
      </c>
    </row>
    <row r="1045" spans="1:6" x14ac:dyDescent="0.35">
      <c r="A1045" s="16">
        <v>44377</v>
      </c>
      <c r="B1045" t="s">
        <v>3</v>
      </c>
      <c r="C1045" s="3">
        <v>30.56</v>
      </c>
      <c r="D1045" s="8">
        <f>LOOKUP(EOMONTH(A1045,0),Target_Prices!A$2:A$38,Target_Prices!K$2:K$38)</f>
        <v>40.805599999999998</v>
      </c>
      <c r="E1045">
        <f t="shared" si="34"/>
        <v>-9.4003241491086298E-3</v>
      </c>
      <c r="F1045">
        <f t="shared" si="35"/>
        <v>0.33526178010471203</v>
      </c>
    </row>
    <row r="1046" spans="1:6" x14ac:dyDescent="0.35">
      <c r="A1046" s="15">
        <v>44407</v>
      </c>
      <c r="B1046" t="s">
        <v>3</v>
      </c>
      <c r="C1046" s="4">
        <v>30.01</v>
      </c>
      <c r="D1046" s="8">
        <f>LOOKUP(EOMONTH(A1046,0),Target_Prices!A$2:A$38,Target_Prices!K$2:K$38)</f>
        <v>40.805599999999998</v>
      </c>
      <c r="E1046">
        <f t="shared" si="34"/>
        <v>-1.7997382198952749E-2</v>
      </c>
      <c r="F1046">
        <f t="shared" si="35"/>
        <v>0.35973342219260235</v>
      </c>
    </row>
    <row r="1047" spans="1:6" x14ac:dyDescent="0.35">
      <c r="A1047" s="16">
        <v>44439</v>
      </c>
      <c r="B1047" t="s">
        <v>3</v>
      </c>
      <c r="C1047" s="3">
        <v>33.090000000000003</v>
      </c>
      <c r="D1047" s="8">
        <f>LOOKUP(EOMONTH(A1047,0),Target_Prices!A$2:A$38,Target_Prices!K$2:K$38)</f>
        <v>40.805599999999998</v>
      </c>
      <c r="E1047">
        <f t="shared" si="34"/>
        <v>0.1026324558480507</v>
      </c>
      <c r="F1047">
        <f t="shared" si="35"/>
        <v>0.23317014203686898</v>
      </c>
    </row>
    <row r="1048" spans="1:6" x14ac:dyDescent="0.35">
      <c r="A1048" s="15">
        <v>44469</v>
      </c>
      <c r="B1048" t="s">
        <v>3</v>
      </c>
      <c r="C1048" s="4">
        <v>30.55</v>
      </c>
      <c r="D1048" s="8">
        <f>LOOKUP(EOMONTH(A1048,0),Target_Prices!A$2:A$38,Target_Prices!K$2:K$38)</f>
        <v>41.095199999999998</v>
      </c>
      <c r="E1048">
        <f t="shared" si="34"/>
        <v>-7.676035055908137E-2</v>
      </c>
      <c r="F1048">
        <f t="shared" si="35"/>
        <v>0.34517839607201301</v>
      </c>
    </row>
    <row r="1049" spans="1:6" x14ac:dyDescent="0.35">
      <c r="A1049" s="16">
        <v>44498</v>
      </c>
      <c r="B1049" t="s">
        <v>3</v>
      </c>
      <c r="C1049" s="3">
        <v>33.270000000000003</v>
      </c>
      <c r="D1049" s="8">
        <f>LOOKUP(EOMONTH(A1049,0),Target_Prices!A$2:A$38,Target_Prices!K$2:K$38)</f>
        <v>41.095199999999998</v>
      </c>
      <c r="E1049">
        <f t="shared" si="34"/>
        <v>8.9034369885433895E-2</v>
      </c>
      <c r="F1049">
        <f t="shared" si="35"/>
        <v>0.23520288548241644</v>
      </c>
    </row>
    <row r="1050" spans="1:6" x14ac:dyDescent="0.35">
      <c r="A1050" s="15">
        <v>44530</v>
      </c>
      <c r="B1050" t="s">
        <v>3</v>
      </c>
      <c r="C1050" s="4">
        <v>34.15</v>
      </c>
      <c r="D1050" s="8">
        <f>LOOKUP(EOMONTH(A1050,0),Target_Prices!A$2:A$38,Target_Prices!K$2:K$38)</f>
        <v>41.095199999999998</v>
      </c>
      <c r="E1050">
        <f t="shared" si="34"/>
        <v>2.6450255485422236E-2</v>
      </c>
      <c r="F1050">
        <f t="shared" si="35"/>
        <v>0.20337335285505126</v>
      </c>
    </row>
    <row r="1051" spans="1:6" x14ac:dyDescent="0.35">
      <c r="A1051" s="16">
        <v>44561</v>
      </c>
      <c r="B1051" t="s">
        <v>3</v>
      </c>
      <c r="C1051" s="3">
        <v>35.72</v>
      </c>
      <c r="D1051" s="8">
        <f>LOOKUP(EOMONTH(A1051,0),Target_Prices!A$2:A$38,Target_Prices!K$2:K$38)</f>
        <v>42.414999999999999</v>
      </c>
      <c r="E1051">
        <f t="shared" si="34"/>
        <v>4.5973645680819963E-2</v>
      </c>
      <c r="F1051">
        <f t="shared" si="35"/>
        <v>0.18743001119820829</v>
      </c>
    </row>
    <row r="1052" spans="1:6" x14ac:dyDescent="0.35">
      <c r="A1052" s="15">
        <v>44592</v>
      </c>
      <c r="B1052" t="s">
        <v>3</v>
      </c>
      <c r="C1052" s="4">
        <v>37.31</v>
      </c>
      <c r="D1052" s="8">
        <f>LOOKUP(EOMONTH(A1052,0),Target_Prices!A$2:A$38,Target_Prices!K$2:K$38)</f>
        <v>42.414999999999999</v>
      </c>
      <c r="E1052">
        <f t="shared" si="34"/>
        <v>4.4512877939529849E-2</v>
      </c>
      <c r="F1052">
        <f t="shared" si="35"/>
        <v>0.13682658804610015</v>
      </c>
    </row>
    <row r="1053" spans="1:6" x14ac:dyDescent="0.35">
      <c r="A1053" s="16">
        <v>44620</v>
      </c>
      <c r="B1053" t="s">
        <v>3</v>
      </c>
      <c r="C1053" s="3">
        <v>41.49</v>
      </c>
      <c r="D1053" s="8">
        <f>LOOKUP(EOMONTH(A1053,0),Target_Prices!A$2:A$38,Target_Prices!K$2:K$38)</f>
        <v>42.414999999999999</v>
      </c>
      <c r="E1053">
        <f t="shared" si="34"/>
        <v>0.11203430715625839</v>
      </c>
      <c r="F1053">
        <f t="shared" si="35"/>
        <v>2.2294528802120923E-2</v>
      </c>
    </row>
    <row r="1054" spans="1:6" x14ac:dyDescent="0.35">
      <c r="A1054" s="15">
        <v>44651</v>
      </c>
      <c r="B1054" t="s">
        <v>3</v>
      </c>
      <c r="C1054" s="4">
        <v>39.53</v>
      </c>
      <c r="D1054" s="8">
        <f>LOOKUP(EOMONTH(A1054,0),Target_Prices!A$2:A$38,Target_Prices!K$2:K$38)</f>
        <v>46</v>
      </c>
      <c r="E1054">
        <f t="shared" si="34"/>
        <v>-4.7240298867196939E-2</v>
      </c>
      <c r="F1054">
        <f t="shared" si="35"/>
        <v>0.16367315962560078</v>
      </c>
    </row>
    <row r="1055" spans="1:6" x14ac:dyDescent="0.35">
      <c r="A1055" s="16">
        <v>44680</v>
      </c>
      <c r="B1055" t="s">
        <v>3</v>
      </c>
      <c r="C1055" s="3">
        <v>39.590000000000003</v>
      </c>
      <c r="D1055" s="8">
        <f>LOOKUP(EOMONTH(A1055,0),Target_Prices!A$2:A$38,Target_Prices!K$2:K$38)</f>
        <v>46</v>
      </c>
      <c r="E1055">
        <f t="shared" si="34"/>
        <v>1.5178345560333817E-3</v>
      </c>
      <c r="F1055">
        <f t="shared" si="35"/>
        <v>0.16190957312452631</v>
      </c>
    </row>
    <row r="1056" spans="1:6" x14ac:dyDescent="0.35">
      <c r="A1056" s="15">
        <v>44712</v>
      </c>
      <c r="B1056" t="s">
        <v>3</v>
      </c>
      <c r="C1056" s="4">
        <v>41</v>
      </c>
      <c r="D1056" s="8">
        <f>LOOKUP(EOMONTH(A1056,0),Target_Prices!A$2:A$38,Target_Prices!K$2:K$38)</f>
        <v>46</v>
      </c>
      <c r="E1056">
        <f t="shared" si="34"/>
        <v>3.5615054306642913E-2</v>
      </c>
      <c r="F1056">
        <f t="shared" si="35"/>
        <v>0.12195121951219512</v>
      </c>
    </row>
    <row r="1057" spans="1:6" x14ac:dyDescent="0.35">
      <c r="A1057" s="16">
        <v>44742</v>
      </c>
      <c r="B1057" t="s">
        <v>3</v>
      </c>
      <c r="C1057" s="3">
        <v>35.08</v>
      </c>
      <c r="D1057" s="8">
        <f>LOOKUP(EOMONTH(A1057,0),Target_Prices!A$2:A$38,Target_Prices!K$2:K$38)</f>
        <v>48.1</v>
      </c>
      <c r="E1057">
        <f t="shared" si="34"/>
        <v>-0.14439024390243904</v>
      </c>
      <c r="F1057">
        <f t="shared" si="35"/>
        <v>0.37115165336374012</v>
      </c>
    </row>
    <row r="1058" spans="1:6" x14ac:dyDescent="0.35">
      <c r="A1058" s="15">
        <v>44771</v>
      </c>
      <c r="B1058" t="s">
        <v>3</v>
      </c>
      <c r="C1058" s="4">
        <v>40.18</v>
      </c>
      <c r="D1058" s="8">
        <f>LOOKUP(EOMONTH(A1058,0),Target_Prices!A$2:A$38,Target_Prices!K$2:K$38)</f>
        <v>48.1</v>
      </c>
      <c r="E1058">
        <f t="shared" ref="E1058:E1101" si="36">(C1058/C1057)-1</f>
        <v>0.14538198403648805</v>
      </c>
      <c r="F1058">
        <f t="shared" si="35"/>
        <v>0.19711299153807868</v>
      </c>
    </row>
    <row r="1059" spans="1:6" x14ac:dyDescent="0.35">
      <c r="A1059" s="16">
        <v>44804</v>
      </c>
      <c r="B1059" t="s">
        <v>3</v>
      </c>
      <c r="C1059" s="3">
        <v>38.08</v>
      </c>
      <c r="D1059" s="8">
        <f>LOOKUP(EOMONTH(A1059,0),Target_Prices!A$2:A$38,Target_Prices!K$2:K$38)</f>
        <v>48.1</v>
      </c>
      <c r="E1059">
        <f t="shared" si="36"/>
        <v>-5.2264808362369353E-2</v>
      </c>
      <c r="F1059">
        <f t="shared" si="35"/>
        <v>0.26313025210084046</v>
      </c>
    </row>
    <row r="1060" spans="1:6" x14ac:dyDescent="0.35">
      <c r="A1060" s="15">
        <v>44834</v>
      </c>
      <c r="B1060" t="s">
        <v>3</v>
      </c>
      <c r="C1060" s="4">
        <v>37.79</v>
      </c>
      <c r="D1060" s="8">
        <f>LOOKUP(EOMONTH(A1060,0),Target_Prices!A$2:A$38,Target_Prices!K$2:K$38)</f>
        <v>52.5</v>
      </c>
      <c r="E1060">
        <f t="shared" si="36"/>
        <v>-7.6155462184873679E-3</v>
      </c>
      <c r="F1060">
        <f t="shared" si="35"/>
        <v>0.3892564170415454</v>
      </c>
    </row>
    <row r="1061" spans="1:6" x14ac:dyDescent="0.35">
      <c r="A1061" s="16">
        <v>44865</v>
      </c>
      <c r="B1061" t="s">
        <v>3</v>
      </c>
      <c r="C1061" s="3">
        <v>38.99</v>
      </c>
      <c r="D1061" s="8">
        <f>LOOKUP(EOMONTH(A1061,0),Target_Prices!A$2:A$38,Target_Prices!K$2:K$38)</f>
        <v>52.5</v>
      </c>
      <c r="E1061">
        <f t="shared" si="36"/>
        <v>3.1754432389521137E-2</v>
      </c>
      <c r="F1061">
        <f t="shared" si="35"/>
        <v>0.34649910233393172</v>
      </c>
    </row>
    <row r="1062" spans="1:6" x14ac:dyDescent="0.35">
      <c r="A1062" s="15">
        <v>44895</v>
      </c>
      <c r="B1062" t="s">
        <v>3</v>
      </c>
      <c r="C1062" s="4">
        <v>42</v>
      </c>
      <c r="D1062" s="8">
        <f>LOOKUP(EOMONTH(A1062,0),Target_Prices!A$2:A$38,Target_Prices!K$2:K$38)</f>
        <v>52.5</v>
      </c>
      <c r="E1062">
        <f t="shared" si="36"/>
        <v>7.719928186714542E-2</v>
      </c>
      <c r="F1062">
        <f t="shared" si="35"/>
        <v>0.25</v>
      </c>
    </row>
    <row r="1063" spans="1:6" x14ac:dyDescent="0.35">
      <c r="A1063" s="16">
        <v>44925</v>
      </c>
      <c r="B1063" t="s">
        <v>3</v>
      </c>
      <c r="C1063" s="3">
        <v>41.59</v>
      </c>
      <c r="D1063" s="8">
        <f>LOOKUP(EOMONTH(A1063,0),Target_Prices!A$2:A$38,Target_Prices!K$2:K$38)</f>
        <v>52.3</v>
      </c>
      <c r="E1063">
        <f t="shared" si="36"/>
        <v>-9.7619047619046384E-3</v>
      </c>
      <c r="F1063">
        <f t="shared" si="35"/>
        <v>0.25751382543880724</v>
      </c>
    </row>
    <row r="1064" spans="1:6" x14ac:dyDescent="0.35">
      <c r="A1064" s="15">
        <v>44957</v>
      </c>
      <c r="B1064" t="s">
        <v>3</v>
      </c>
      <c r="C1064" s="4">
        <v>40.799999999999997</v>
      </c>
      <c r="D1064" s="8">
        <f>LOOKUP(EOMONTH(A1064,0),Target_Prices!A$2:A$38,Target_Prices!K$2:K$38)</f>
        <v>52.3</v>
      </c>
      <c r="E1064">
        <f t="shared" si="36"/>
        <v>-1.8994950709305236E-2</v>
      </c>
      <c r="F1064">
        <f t="shared" si="35"/>
        <v>0.28186274509803921</v>
      </c>
    </row>
    <row r="1065" spans="1:6" x14ac:dyDescent="0.35">
      <c r="A1065" s="16">
        <v>44985</v>
      </c>
      <c r="B1065" t="s">
        <v>3</v>
      </c>
      <c r="C1065" s="3">
        <v>40.24</v>
      </c>
      <c r="D1065" s="8">
        <f>LOOKUP(EOMONTH(A1065,0),Target_Prices!A$2:A$38,Target_Prices!K$2:K$38)</f>
        <v>52.3</v>
      </c>
      <c r="E1065">
        <f t="shared" si="36"/>
        <v>-1.3725490196078272E-2</v>
      </c>
      <c r="F1065">
        <f t="shared" si="35"/>
        <v>0.29970178926441338</v>
      </c>
    </row>
    <row r="1066" spans="1:6" x14ac:dyDescent="0.35">
      <c r="A1066" s="15">
        <v>45016</v>
      </c>
      <c r="B1066" t="s">
        <v>3</v>
      </c>
      <c r="C1066" s="4">
        <v>39.64</v>
      </c>
      <c r="D1066" s="8">
        <f>LOOKUP(EOMONTH(A1066,0),Target_Prices!A$2:A$38,Target_Prices!K$2:K$38)</f>
        <v>51.552900000000001</v>
      </c>
      <c r="E1066">
        <f t="shared" si="36"/>
        <v>-1.491053677932408E-2</v>
      </c>
      <c r="F1066">
        <f t="shared" si="35"/>
        <v>0.30052724520686175</v>
      </c>
    </row>
    <row r="1067" spans="1:6" x14ac:dyDescent="0.35">
      <c r="A1067" s="16">
        <v>45044</v>
      </c>
      <c r="B1067" t="s">
        <v>3</v>
      </c>
      <c r="C1067" s="3">
        <v>42.55</v>
      </c>
      <c r="D1067" s="8">
        <f>LOOKUP(EOMONTH(A1067,0),Target_Prices!A$2:A$38,Target_Prices!K$2:K$38)</f>
        <v>51.552900000000001</v>
      </c>
      <c r="E1067">
        <f t="shared" si="36"/>
        <v>7.3410696266397402E-2</v>
      </c>
      <c r="F1067">
        <f t="shared" si="35"/>
        <v>0.2115840188014102</v>
      </c>
    </row>
    <row r="1068" spans="1:6" x14ac:dyDescent="0.35">
      <c r="A1068" s="15">
        <v>45077</v>
      </c>
      <c r="B1068" t="s">
        <v>3</v>
      </c>
      <c r="C1068" s="4">
        <v>39.119999999999997</v>
      </c>
      <c r="D1068" s="8">
        <f>LOOKUP(EOMONTH(A1068,0),Target_Prices!A$2:A$38,Target_Prices!K$2:K$38)</f>
        <v>51.552900000000001</v>
      </c>
      <c r="E1068">
        <f t="shared" si="36"/>
        <v>-8.0611045828437145E-2</v>
      </c>
      <c r="F1068">
        <f t="shared" si="35"/>
        <v>0.3178144171779142</v>
      </c>
    </row>
    <row r="1069" spans="1:6" x14ac:dyDescent="0.35">
      <c r="A1069" s="16">
        <v>45107</v>
      </c>
      <c r="B1069" t="s">
        <v>3</v>
      </c>
      <c r="C1069" s="3">
        <v>39.869999999999997</v>
      </c>
      <c r="D1069" s="8">
        <f>LOOKUP(EOMONTH(A1069,0),Target_Prices!A$2:A$38,Target_Prices!K$2:K$38)</f>
        <v>51.288899999999998</v>
      </c>
      <c r="E1069">
        <f t="shared" si="36"/>
        <v>1.917177914110435E-2</v>
      </c>
      <c r="F1069">
        <f t="shared" si="35"/>
        <v>0.28640331075996994</v>
      </c>
    </row>
    <row r="1070" spans="1:6" x14ac:dyDescent="0.35">
      <c r="A1070" s="15">
        <v>45138</v>
      </c>
      <c r="B1070" t="s">
        <v>3</v>
      </c>
      <c r="C1070" s="4">
        <v>39.130000000000003</v>
      </c>
      <c r="D1070" s="8">
        <f>LOOKUP(EOMONTH(A1070,0),Target_Prices!A$2:A$38,Target_Prices!K$2:K$38)</f>
        <v>51.288899999999998</v>
      </c>
      <c r="E1070">
        <f t="shared" si="36"/>
        <v>-1.8560321043390893E-2</v>
      </c>
      <c r="F1070">
        <f t="shared" si="35"/>
        <v>0.31073089700996664</v>
      </c>
    </row>
    <row r="1071" spans="1:6" x14ac:dyDescent="0.35">
      <c r="A1071" s="16">
        <v>45169</v>
      </c>
      <c r="B1071" t="s">
        <v>3</v>
      </c>
      <c r="C1071" s="3">
        <v>38.06</v>
      </c>
      <c r="D1071" s="8">
        <f>LOOKUP(EOMONTH(A1071,0),Target_Prices!A$2:A$38,Target_Prices!K$2:K$38)</f>
        <v>51.288899999999998</v>
      </c>
      <c r="E1071">
        <f t="shared" si="36"/>
        <v>-2.734474827498079E-2</v>
      </c>
      <c r="F1071">
        <f t="shared" si="35"/>
        <v>0.34758013662637927</v>
      </c>
    </row>
    <row r="1072" spans="1:6" x14ac:dyDescent="0.35">
      <c r="A1072" s="15">
        <v>45198</v>
      </c>
      <c r="B1072" t="s">
        <v>3</v>
      </c>
      <c r="C1072" s="4">
        <v>35.15</v>
      </c>
      <c r="D1072" s="8">
        <f>LOOKUP(EOMONTH(A1072,0),Target_Prices!A$2:A$38,Target_Prices!K$2:K$38)</f>
        <v>52.683300000000003</v>
      </c>
      <c r="E1072">
        <f t="shared" si="36"/>
        <v>-7.6458223857067908E-2</v>
      </c>
      <c r="F1072">
        <f t="shared" si="35"/>
        <v>0.49881365576102432</v>
      </c>
    </row>
    <row r="1073" spans="1:6" x14ac:dyDescent="0.35">
      <c r="A1073" s="16">
        <v>45230</v>
      </c>
      <c r="B1073" t="s">
        <v>3</v>
      </c>
      <c r="C1073" s="3">
        <v>36.130000000000003</v>
      </c>
      <c r="D1073" s="8">
        <f>LOOKUP(EOMONTH(A1073,0),Target_Prices!A$2:A$38,Target_Prices!K$2:K$38)</f>
        <v>52.683300000000003</v>
      </c>
      <c r="E1073">
        <f t="shared" si="36"/>
        <v>2.788051209103859E-2</v>
      </c>
      <c r="F1073">
        <f t="shared" si="35"/>
        <v>0.45815942430113477</v>
      </c>
    </row>
    <row r="1074" spans="1:6" x14ac:dyDescent="0.35">
      <c r="A1074" s="15">
        <v>45260</v>
      </c>
      <c r="B1074" t="s">
        <v>3</v>
      </c>
      <c r="C1074" s="4">
        <v>39.369999999999997</v>
      </c>
      <c r="D1074" s="8">
        <f>LOOKUP(EOMONTH(A1074,0),Target_Prices!A$2:A$38,Target_Prices!K$2:K$38)</f>
        <v>52.683300000000003</v>
      </c>
      <c r="E1074">
        <f t="shared" si="36"/>
        <v>8.9676169388319904E-2</v>
      </c>
      <c r="F1074">
        <f t="shared" si="35"/>
        <v>0.3381584963169928</v>
      </c>
    </row>
    <row r="1075" spans="1:6" x14ac:dyDescent="0.35">
      <c r="A1075" s="16">
        <v>45289</v>
      </c>
      <c r="B1075" t="s">
        <v>3</v>
      </c>
      <c r="C1075" s="3">
        <v>41.18</v>
      </c>
      <c r="D1075" s="8">
        <f>LOOKUP(EOMONTH(A1075,0),Target_Prices!A$2:A$38,Target_Prices!K$2:K$38)</f>
        <v>52.9833</v>
      </c>
      <c r="E1075">
        <f t="shared" si="36"/>
        <v>4.5974091948183915E-2</v>
      </c>
      <c r="F1075">
        <f t="shared" si="35"/>
        <v>0.28662700339970859</v>
      </c>
    </row>
    <row r="1076" spans="1:6" x14ac:dyDescent="0.35">
      <c r="A1076" s="15">
        <v>45322</v>
      </c>
      <c r="B1076" t="s">
        <v>3</v>
      </c>
      <c r="C1076" s="4">
        <v>34.33</v>
      </c>
      <c r="D1076" s="8">
        <f>LOOKUP(EOMONTH(A1076,0),Target_Prices!A$2:A$38,Target_Prices!K$2:K$38)</f>
        <v>52.9833</v>
      </c>
      <c r="E1076">
        <f t="shared" si="36"/>
        <v>-0.16634288489558047</v>
      </c>
      <c r="F1076">
        <f t="shared" si="35"/>
        <v>0.54335275269443639</v>
      </c>
    </row>
    <row r="1077" spans="1:6" x14ac:dyDescent="0.35">
      <c r="A1077" s="16">
        <v>45351</v>
      </c>
      <c r="B1077" t="s">
        <v>3</v>
      </c>
      <c r="C1077" s="3">
        <v>31</v>
      </c>
      <c r="D1077" s="8">
        <f>LOOKUP(EOMONTH(A1077,0),Target_Prices!A$2:A$38,Target_Prices!K$2:K$38)</f>
        <v>52.9833</v>
      </c>
      <c r="E1077">
        <f t="shared" si="36"/>
        <v>-9.699970870958341E-2</v>
      </c>
      <c r="F1077">
        <f t="shared" si="35"/>
        <v>0.70913870967741932</v>
      </c>
    </row>
    <row r="1078" spans="1:6" x14ac:dyDescent="0.35">
      <c r="A1078" s="15">
        <v>45380</v>
      </c>
      <c r="B1078" t="s">
        <v>3</v>
      </c>
      <c r="C1078" s="4">
        <v>31.46</v>
      </c>
      <c r="D1078" s="8">
        <f>LOOKUP(EOMONTH(A1078,0),Target_Prices!A$2:A$38,Target_Prices!K$2:K$38)</f>
        <v>45.938200000000002</v>
      </c>
      <c r="E1078">
        <f t="shared" si="36"/>
        <v>1.4838709677419404E-2</v>
      </c>
      <c r="F1078">
        <f t="shared" si="35"/>
        <v>0.46020979020979025</v>
      </c>
    </row>
    <row r="1079" spans="1:6" x14ac:dyDescent="0.35">
      <c r="A1079" s="16">
        <v>45412</v>
      </c>
      <c r="B1079" t="s">
        <v>3</v>
      </c>
      <c r="C1079" s="3">
        <v>32.630000000000003</v>
      </c>
      <c r="D1079" s="8">
        <f>LOOKUP(EOMONTH(A1079,0),Target_Prices!A$2:A$38,Target_Prices!K$2:K$38)</f>
        <v>45.938200000000002</v>
      </c>
      <c r="E1079">
        <f t="shared" si="36"/>
        <v>3.7190082644628086E-2</v>
      </c>
      <c r="F1079">
        <f t="shared" si="35"/>
        <v>0.40785167024210844</v>
      </c>
    </row>
    <row r="1080" spans="1:6" x14ac:dyDescent="0.35">
      <c r="A1080" s="15">
        <v>45443</v>
      </c>
      <c r="B1080" t="s">
        <v>3</v>
      </c>
      <c r="C1080" s="4">
        <v>34.840000000000003</v>
      </c>
      <c r="D1080" s="8">
        <f>LOOKUP(EOMONTH(A1080,0),Target_Prices!A$2:A$38,Target_Prices!K$2:K$38)</f>
        <v>45.938200000000002</v>
      </c>
      <c r="E1080">
        <f t="shared" si="36"/>
        <v>6.7729083665338585E-2</v>
      </c>
      <c r="F1080">
        <f t="shared" si="35"/>
        <v>0.31854764638346722</v>
      </c>
    </row>
    <row r="1081" spans="1:6" x14ac:dyDescent="0.35">
      <c r="A1081" s="16">
        <v>45471</v>
      </c>
      <c r="B1081" t="s">
        <v>3</v>
      </c>
      <c r="C1081" s="3">
        <v>31.95</v>
      </c>
      <c r="D1081" s="8">
        <f>LOOKUP(EOMONTH(A1081,0),Target_Prices!A$2:A$38,Target_Prices!K$2:K$38)</f>
        <v>45.246899999999997</v>
      </c>
      <c r="E1081">
        <f t="shared" si="36"/>
        <v>-8.2950631458094226E-2</v>
      </c>
      <c r="F1081">
        <f t="shared" si="35"/>
        <v>0.41617840375586845</v>
      </c>
    </row>
    <row r="1082" spans="1:6" x14ac:dyDescent="0.35">
      <c r="A1082" s="15">
        <v>45504</v>
      </c>
      <c r="B1082" t="s">
        <v>3</v>
      </c>
      <c r="C1082" s="4">
        <v>34.49</v>
      </c>
      <c r="D1082" s="8">
        <f>LOOKUP(EOMONTH(A1082,0),Target_Prices!A$2:A$38,Target_Prices!K$2:K$38)</f>
        <v>45.246899999999997</v>
      </c>
      <c r="E1082">
        <f t="shared" si="36"/>
        <v>7.9499217527386534E-2</v>
      </c>
      <c r="F1082">
        <f t="shared" si="35"/>
        <v>0.31188460423311087</v>
      </c>
    </row>
    <row r="1083" spans="1:6" x14ac:dyDescent="0.35">
      <c r="A1083" s="16">
        <v>45534</v>
      </c>
      <c r="B1083" t="s">
        <v>3</v>
      </c>
      <c r="C1083" s="3">
        <v>32.630000000000003</v>
      </c>
      <c r="D1083" s="8">
        <f>LOOKUP(EOMONTH(A1083,0),Target_Prices!A$2:A$38,Target_Prices!K$2:K$38)</f>
        <v>45.246899999999997</v>
      </c>
      <c r="E1083">
        <f t="shared" si="36"/>
        <v>-5.3928674978254598E-2</v>
      </c>
      <c r="F1083">
        <f t="shared" si="35"/>
        <v>0.38666564511186002</v>
      </c>
    </row>
    <row r="1084" spans="1:6" x14ac:dyDescent="0.35">
      <c r="A1084" s="15">
        <v>45565</v>
      </c>
      <c r="B1084" t="s">
        <v>3</v>
      </c>
      <c r="C1084" s="4">
        <v>32.68</v>
      </c>
      <c r="D1084" s="8">
        <f>LOOKUP(EOMONTH(A1084,0),Target_Prices!A$2:A$38,Target_Prices!K$2:K$38)</f>
        <v>43.614699999999999</v>
      </c>
      <c r="E1084">
        <f t="shared" si="36"/>
        <v>1.5323322096230108E-3</v>
      </c>
      <c r="F1084">
        <f t="shared" si="35"/>
        <v>0.33459914320685435</v>
      </c>
    </row>
    <row r="1085" spans="1:6" x14ac:dyDescent="0.35">
      <c r="A1085" s="16">
        <v>45596</v>
      </c>
      <c r="B1085" t="s">
        <v>3</v>
      </c>
      <c r="C1085" s="3">
        <v>29.77</v>
      </c>
      <c r="D1085" s="8">
        <f>LOOKUP(EOMONTH(A1085,0),Target_Prices!A$2:A$38,Target_Prices!K$2:K$38)</f>
        <v>43.614699999999999</v>
      </c>
      <c r="E1085">
        <f t="shared" si="36"/>
        <v>-8.9045287637698922E-2</v>
      </c>
      <c r="F1085">
        <f t="shared" si="35"/>
        <v>0.46505542492442054</v>
      </c>
    </row>
    <row r="1086" spans="1:6" x14ac:dyDescent="0.35">
      <c r="A1086" s="15">
        <v>45625</v>
      </c>
      <c r="B1086" t="s">
        <v>3</v>
      </c>
      <c r="C1086" s="4">
        <v>31.87</v>
      </c>
      <c r="D1086" s="8">
        <f>LOOKUP(EOMONTH(A1086,0),Target_Prices!A$2:A$38,Target_Prices!K$2:K$38)</f>
        <v>43.614699999999999</v>
      </c>
      <c r="E1086">
        <f t="shared" si="36"/>
        <v>7.0540812898891581E-2</v>
      </c>
      <c r="F1086">
        <f t="shared" si="35"/>
        <v>0.36851898336994032</v>
      </c>
    </row>
    <row r="1087" spans="1:6" x14ac:dyDescent="0.35">
      <c r="A1087" s="16">
        <v>45657</v>
      </c>
      <c r="B1087" t="s">
        <v>3</v>
      </c>
      <c r="C1087" s="3">
        <v>28.83</v>
      </c>
      <c r="D1087" s="8">
        <f>LOOKUP(EOMONTH(A1087,0),Target_Prices!A$2:A$38,Target_Prices!K$2:K$38)</f>
        <v>42.585299999999997</v>
      </c>
      <c r="E1087">
        <f t="shared" si="36"/>
        <v>-9.5387511766551691E-2</v>
      </c>
      <c r="F1087">
        <f t="shared" si="35"/>
        <v>0.4771175858480749</v>
      </c>
    </row>
    <row r="1088" spans="1:6" x14ac:dyDescent="0.35">
      <c r="A1088" s="15">
        <v>45688</v>
      </c>
      <c r="B1088" t="s">
        <v>3</v>
      </c>
      <c r="C1088" s="4">
        <v>29.88</v>
      </c>
      <c r="D1088" s="8">
        <f>LOOKUP(EOMONTH(A1088,0),Target_Prices!A$2:A$38,Target_Prices!K$2:K$38)</f>
        <v>42.585299999999997</v>
      </c>
      <c r="E1088">
        <f t="shared" si="36"/>
        <v>3.6420395421435936E-2</v>
      </c>
      <c r="F1088">
        <f t="shared" si="35"/>
        <v>0.42521084337349391</v>
      </c>
    </row>
    <row r="1089" spans="1:6" x14ac:dyDescent="0.35">
      <c r="A1089" s="16">
        <v>45716</v>
      </c>
      <c r="B1089" t="s">
        <v>3</v>
      </c>
      <c r="C1089" s="3">
        <v>30.32</v>
      </c>
      <c r="D1089" s="8">
        <f>LOOKUP(EOMONTH(A1089,0),Target_Prices!A$2:A$38,Target_Prices!K$2:K$38)</f>
        <v>42.585299999999997</v>
      </c>
      <c r="E1089">
        <f t="shared" si="36"/>
        <v>1.4725568942436373E-2</v>
      </c>
      <c r="F1089">
        <f t="shared" si="35"/>
        <v>0.40452836411609489</v>
      </c>
    </row>
    <row r="1090" spans="1:6" x14ac:dyDescent="0.35">
      <c r="A1090" s="15">
        <v>45747</v>
      </c>
      <c r="B1090" t="s">
        <v>3</v>
      </c>
      <c r="C1090" s="4">
        <v>33.020000000000003</v>
      </c>
      <c r="D1090" s="8">
        <f>LOOKUP(EOMONTH(A1090,0),Target_Prices!A$2:A$38,Target_Prices!K$2:K$38)</f>
        <v>41.961100000000002</v>
      </c>
      <c r="E1090">
        <f t="shared" si="36"/>
        <v>8.9050131926121434E-2</v>
      </c>
      <c r="F1090">
        <f t="shared" si="35"/>
        <v>0.27077831617201692</v>
      </c>
    </row>
    <row r="1091" spans="1:6" x14ac:dyDescent="0.35">
      <c r="A1091" s="16">
        <v>45777</v>
      </c>
      <c r="B1091" t="s">
        <v>3</v>
      </c>
      <c r="C1091" s="3">
        <v>34.200000000000003</v>
      </c>
      <c r="D1091" s="8">
        <f>LOOKUP(EOMONTH(A1091,0),Target_Prices!A$2:A$38,Target_Prices!K$2:K$38)</f>
        <v>41.961100000000002</v>
      </c>
      <c r="E1091">
        <f t="shared" si="36"/>
        <v>3.573591762568129E-2</v>
      </c>
      <c r="F1091">
        <f t="shared" ref="F1091:F1154" si="37">(D1091-C1091)/C1091</f>
        <v>0.22693274853801165</v>
      </c>
    </row>
    <row r="1092" spans="1:6" x14ac:dyDescent="0.35">
      <c r="A1092" s="15">
        <v>45807</v>
      </c>
      <c r="B1092" t="s">
        <v>3</v>
      </c>
      <c r="C1092" s="4">
        <v>33.130000000000003</v>
      </c>
      <c r="D1092" s="8">
        <f>LOOKUP(EOMONTH(A1092,0),Target_Prices!A$2:A$38,Target_Prices!K$2:K$38)</f>
        <v>41.961100000000002</v>
      </c>
      <c r="E1092">
        <f t="shared" si="36"/>
        <v>-3.1286549707602362E-2</v>
      </c>
      <c r="F1092">
        <f t="shared" si="37"/>
        <v>0.2665590099607606</v>
      </c>
    </row>
    <row r="1093" spans="1:6" x14ac:dyDescent="0.35">
      <c r="A1093" s="16">
        <v>45838</v>
      </c>
      <c r="B1093" t="s">
        <v>3</v>
      </c>
      <c r="C1093" s="3">
        <v>35.43</v>
      </c>
      <c r="D1093" s="8">
        <f>LOOKUP(EOMONTH(A1093,0),Target_Prices!A$2:A$38,Target_Prices!K$2:K$38)</f>
        <v>41.841200000000001</v>
      </c>
      <c r="E1093">
        <f t="shared" si="36"/>
        <v>6.9423483247811557E-2</v>
      </c>
      <c r="F1093">
        <f t="shared" si="37"/>
        <v>0.18095399379057298</v>
      </c>
    </row>
    <row r="1094" spans="1:6" x14ac:dyDescent="0.35">
      <c r="A1094" s="15">
        <v>45869</v>
      </c>
      <c r="B1094" t="s">
        <v>3</v>
      </c>
      <c r="C1094" s="4">
        <v>35.909999999999997</v>
      </c>
      <c r="D1094" s="8">
        <f>LOOKUP(EOMONTH(A1094,0),Target_Prices!A$2:A$38,Target_Prices!K$2:K$38)</f>
        <v>41.841200000000001</v>
      </c>
      <c r="E1094">
        <f t="shared" si="36"/>
        <v>1.3547840812870415E-2</v>
      </c>
      <c r="F1094">
        <f t="shared" si="37"/>
        <v>0.16516847674742424</v>
      </c>
    </row>
    <row r="1095" spans="1:6" x14ac:dyDescent="0.35">
      <c r="A1095" s="16">
        <v>45898</v>
      </c>
      <c r="B1095" t="s">
        <v>3</v>
      </c>
      <c r="C1095" s="3">
        <v>34.24</v>
      </c>
      <c r="D1095" s="8">
        <f>LOOKUP(EOMONTH(A1095,0),Target_Prices!A$2:A$38,Target_Prices!K$2:K$38)</f>
        <v>41.841200000000001</v>
      </c>
      <c r="E1095">
        <f t="shared" si="36"/>
        <v>-4.6505151768309494E-2</v>
      </c>
      <c r="F1095">
        <f t="shared" si="37"/>
        <v>0.22199766355140182</v>
      </c>
    </row>
    <row r="1096" spans="1:6" x14ac:dyDescent="0.35">
      <c r="A1096" s="15">
        <v>45930</v>
      </c>
      <c r="B1096" t="s">
        <v>3</v>
      </c>
      <c r="C1096" s="4">
        <v>37.82</v>
      </c>
      <c r="D1096" s="8">
        <f>LOOKUP(EOMONTH(A1096,0),Target_Prices!A$2:A$38,Target_Prices!K$2:K$38)</f>
        <v>42.633299999999998</v>
      </c>
      <c r="E1096">
        <f t="shared" si="36"/>
        <v>0.10455607476635498</v>
      </c>
      <c r="F1096">
        <f t="shared" si="37"/>
        <v>0.12726864093072443</v>
      </c>
    </row>
    <row r="1097" spans="1:6" x14ac:dyDescent="0.35">
      <c r="A1097" s="16">
        <v>45961</v>
      </c>
      <c r="B1097" t="s">
        <v>3</v>
      </c>
      <c r="C1097" s="3">
        <v>42.66</v>
      </c>
      <c r="D1097" s="8">
        <f>LOOKUP(EOMONTH(A1097,0),Target_Prices!A$2:A$38,Target_Prices!K$2:K$38)</f>
        <v>42.633299999999998</v>
      </c>
      <c r="E1097">
        <f t="shared" si="36"/>
        <v>0.12797461660497089</v>
      </c>
      <c r="F1097">
        <f t="shared" si="37"/>
        <v>-6.2587904360051976E-4</v>
      </c>
    </row>
    <row r="1098" spans="1:6" x14ac:dyDescent="0.35">
      <c r="A1098" s="15">
        <v>45989</v>
      </c>
      <c r="B1098" t="s">
        <v>3</v>
      </c>
      <c r="C1098" s="4">
        <v>43.74</v>
      </c>
      <c r="D1098" s="8">
        <f>LOOKUP(EOMONTH(A1098,0),Target_Prices!A$2:A$38,Target_Prices!K$2:K$38)</f>
        <v>42.633299999999998</v>
      </c>
      <c r="E1098">
        <f t="shared" si="36"/>
        <v>2.5316455696202667E-2</v>
      </c>
      <c r="F1098">
        <f t="shared" si="37"/>
        <v>-2.530178326474631E-2</v>
      </c>
    </row>
    <row r="1099" spans="1:6" x14ac:dyDescent="0.35">
      <c r="A1099" s="16">
        <v>46022</v>
      </c>
      <c r="B1099" t="s">
        <v>3</v>
      </c>
      <c r="C1099" s="3">
        <v>45.26</v>
      </c>
      <c r="D1099" s="8">
        <f>LOOKUP(EOMONTH(A1099,0),Target_Prices!A$2:A$38,Target_Prices!K$2:K$38)</f>
        <v>49.736800000000002</v>
      </c>
      <c r="E1099">
        <f t="shared" si="36"/>
        <v>3.4750800182898889E-2</v>
      </c>
      <c r="F1099">
        <f t="shared" si="37"/>
        <v>9.8912947414936031E-2</v>
      </c>
    </row>
    <row r="1100" spans="1:6" x14ac:dyDescent="0.35">
      <c r="A1100" s="15">
        <v>46052</v>
      </c>
      <c r="B1100" t="s">
        <v>3</v>
      </c>
      <c r="C1100" s="4">
        <v>53.52</v>
      </c>
      <c r="D1100" s="8">
        <f>LOOKUP(EOMONTH(A1100,0),Target_Prices!A$2:A$38,Target_Prices!K$2:K$38)</f>
        <v>49.736800000000002</v>
      </c>
      <c r="E1100">
        <f t="shared" si="36"/>
        <v>0.182501104728237</v>
      </c>
      <c r="F1100">
        <f t="shared" si="37"/>
        <v>-7.0687593423019446E-2</v>
      </c>
    </row>
    <row r="1101" spans="1:6" s="11" customFormat="1" x14ac:dyDescent="0.35">
      <c r="A1101" s="15">
        <v>46080</v>
      </c>
      <c r="B1101" s="11" t="s">
        <v>3</v>
      </c>
      <c r="C1101" s="12">
        <v>54.54</v>
      </c>
      <c r="D1101" s="14">
        <f>LOOKUP(EOMONTH(A1101,0),Target_Prices!A$2:A$38,Target_Prices!K$2:K$38)</f>
        <v>49.736800000000002</v>
      </c>
      <c r="E1101">
        <f t="shared" si="36"/>
        <v>1.9058295964125449E-2</v>
      </c>
      <c r="F1101">
        <f t="shared" si="37"/>
        <v>-8.8067473414008016E-2</v>
      </c>
    </row>
    <row r="1102" spans="1:6" x14ac:dyDescent="0.35">
      <c r="A1102" s="15">
        <v>42766</v>
      </c>
      <c r="B1102" t="s">
        <v>11</v>
      </c>
      <c r="C1102" s="4">
        <v>5.8339999999999996</v>
      </c>
      <c r="D1102" s="8">
        <f>LOOKUP(EOMONTH(A1102,0),Target_Prices!A$2:A$38,Target_Prices!L$2:L$38)</f>
        <v>6.6627900000000002</v>
      </c>
      <c r="F1102">
        <f t="shared" si="37"/>
        <v>0.14206205005142281</v>
      </c>
    </row>
    <row r="1103" spans="1:6" x14ac:dyDescent="0.35">
      <c r="A1103" s="16">
        <v>42794</v>
      </c>
      <c r="B1103" t="s">
        <v>11</v>
      </c>
      <c r="C1103" s="3">
        <v>6.274</v>
      </c>
      <c r="D1103" s="8">
        <f>LOOKUP(EOMONTH(A1103,0),Target_Prices!A$2:A$38,Target_Prices!L$2:L$38)</f>
        <v>6.6627900000000002</v>
      </c>
      <c r="E1103">
        <f>(C1103/C1102)-1</f>
        <v>7.5419952005485236E-2</v>
      </c>
      <c r="F1103">
        <f t="shared" si="37"/>
        <v>6.1968441185846379E-2</v>
      </c>
    </row>
    <row r="1104" spans="1:6" x14ac:dyDescent="0.35">
      <c r="A1104" s="15">
        <v>42825</v>
      </c>
      <c r="B1104" t="s">
        <v>11</v>
      </c>
      <c r="C1104" s="4">
        <v>6.7050000000000001</v>
      </c>
      <c r="D1104" s="8">
        <f>LOOKUP(EOMONTH(A1104,0),Target_Prices!A$2:A$38,Target_Prices!L$2:L$38)</f>
        <v>6.8024500000000003</v>
      </c>
      <c r="E1104">
        <f t="shared" ref="E1104:E1167" si="38">(C1104/C1103)-1</f>
        <v>6.8696206566783546E-2</v>
      </c>
      <c r="F1104">
        <f t="shared" si="37"/>
        <v>1.4533929903057458E-2</v>
      </c>
    </row>
    <row r="1105" spans="1:6" x14ac:dyDescent="0.35">
      <c r="A1105" s="16">
        <v>42853</v>
      </c>
      <c r="B1105" t="s">
        <v>11</v>
      </c>
      <c r="C1105" s="3">
        <v>6.6020000000000003</v>
      </c>
      <c r="D1105" s="8">
        <f>LOOKUP(EOMONTH(A1105,0),Target_Prices!A$2:A$38,Target_Prices!L$2:L$38)</f>
        <v>6.8024500000000003</v>
      </c>
      <c r="E1105">
        <f t="shared" si="38"/>
        <v>-1.53616703952274E-2</v>
      </c>
      <c r="F1105">
        <f t="shared" si="37"/>
        <v>3.0362011511663133E-2</v>
      </c>
    </row>
    <row r="1106" spans="1:6" x14ac:dyDescent="0.35">
      <c r="A1106" s="15">
        <v>42886</v>
      </c>
      <c r="B1106" t="s">
        <v>11</v>
      </c>
      <c r="C1106" s="4">
        <v>7.0979999999999999</v>
      </c>
      <c r="D1106" s="8">
        <f>LOOKUP(EOMONTH(A1106,0),Target_Prices!A$2:A$38,Target_Prices!L$2:L$38)</f>
        <v>6.8024500000000003</v>
      </c>
      <c r="E1106">
        <f t="shared" si="38"/>
        <v>7.5128748863980466E-2</v>
      </c>
      <c r="F1106">
        <f t="shared" si="37"/>
        <v>-4.163848971541273E-2</v>
      </c>
    </row>
    <row r="1107" spans="1:6" x14ac:dyDescent="0.35">
      <c r="A1107" s="16">
        <v>42916</v>
      </c>
      <c r="B1107" t="s">
        <v>11</v>
      </c>
      <c r="C1107" s="3">
        <v>6.9329999999999998</v>
      </c>
      <c r="D1107" s="8">
        <f>LOOKUP(EOMONTH(A1107,0),Target_Prices!A$2:A$38,Target_Prices!L$2:L$38)</f>
        <v>7.2241</v>
      </c>
      <c r="E1107">
        <f t="shared" si="38"/>
        <v>-2.3245984784446283E-2</v>
      </c>
      <c r="F1107">
        <f t="shared" si="37"/>
        <v>4.1987595557478746E-2</v>
      </c>
    </row>
    <row r="1108" spans="1:6" x14ac:dyDescent="0.35">
      <c r="A1108" s="15">
        <v>42947</v>
      </c>
      <c r="B1108" t="s">
        <v>11</v>
      </c>
      <c r="C1108" s="4">
        <v>6.6639999999999997</v>
      </c>
      <c r="D1108" s="8">
        <f>LOOKUP(EOMONTH(A1108,0),Target_Prices!A$2:A$38,Target_Prices!L$2:L$38)</f>
        <v>7.2241</v>
      </c>
      <c r="E1108">
        <f t="shared" si="38"/>
        <v>-3.8799942304918567E-2</v>
      </c>
      <c r="F1108">
        <f t="shared" si="37"/>
        <v>8.4048619447779152E-2</v>
      </c>
    </row>
    <row r="1109" spans="1:6" x14ac:dyDescent="0.35">
      <c r="A1109" s="16">
        <v>42978</v>
      </c>
      <c r="B1109" t="s">
        <v>11</v>
      </c>
      <c r="C1109" s="3">
        <v>6.8609999999999998</v>
      </c>
      <c r="D1109" s="8">
        <f>LOOKUP(EOMONTH(A1109,0),Target_Prices!A$2:A$38,Target_Prices!L$2:L$38)</f>
        <v>7.2241</v>
      </c>
      <c r="E1109">
        <f t="shared" si="38"/>
        <v>2.9561824729891883E-2</v>
      </c>
      <c r="F1109">
        <f t="shared" si="37"/>
        <v>5.2922314531409449E-2</v>
      </c>
    </row>
    <row r="1110" spans="1:6" x14ac:dyDescent="0.35">
      <c r="A1110" s="15">
        <v>43007</v>
      </c>
      <c r="B1110" t="s">
        <v>11</v>
      </c>
      <c r="C1110" s="4">
        <v>6.5720000000000001</v>
      </c>
      <c r="D1110" s="8">
        <f>LOOKUP(EOMONTH(A1110,0),Target_Prices!A$2:A$38,Target_Prices!L$2:L$38)</f>
        <v>7.2355400000000003</v>
      </c>
      <c r="E1110">
        <f t="shared" si="38"/>
        <v>-4.21221396297915E-2</v>
      </c>
      <c r="F1110">
        <f t="shared" si="37"/>
        <v>0.10096469872185031</v>
      </c>
    </row>
    <row r="1111" spans="1:6" x14ac:dyDescent="0.35">
      <c r="A1111" s="16">
        <v>43039</v>
      </c>
      <c r="B1111" t="s">
        <v>11</v>
      </c>
      <c r="C1111" s="3">
        <v>6.9379999999999997</v>
      </c>
      <c r="D1111" s="8">
        <f>LOOKUP(EOMONTH(A1111,0),Target_Prices!A$2:A$38,Target_Prices!L$2:L$38)</f>
        <v>7.2355400000000003</v>
      </c>
      <c r="E1111">
        <f t="shared" si="38"/>
        <v>5.5690809494826521E-2</v>
      </c>
      <c r="F1111">
        <f t="shared" si="37"/>
        <v>4.2885557797636295E-2</v>
      </c>
    </row>
    <row r="1112" spans="1:6" x14ac:dyDescent="0.35">
      <c r="A1112" s="15">
        <v>43069</v>
      </c>
      <c r="B1112" t="s">
        <v>11</v>
      </c>
      <c r="C1112" s="4">
        <v>6.6719999999999997</v>
      </c>
      <c r="D1112" s="8">
        <f>LOOKUP(EOMONTH(A1112,0),Target_Prices!A$2:A$38,Target_Prices!L$2:L$38)</f>
        <v>7.2355400000000003</v>
      </c>
      <c r="E1112">
        <f t="shared" si="38"/>
        <v>-3.8339579129432089E-2</v>
      </c>
      <c r="F1112">
        <f t="shared" si="37"/>
        <v>8.4463429256594821E-2</v>
      </c>
    </row>
    <row r="1113" spans="1:6" x14ac:dyDescent="0.35">
      <c r="A1113" s="16">
        <v>43098</v>
      </c>
      <c r="B1113" t="s">
        <v>11</v>
      </c>
      <c r="C1113" s="3">
        <v>6.46</v>
      </c>
      <c r="D1113" s="8">
        <f>LOOKUP(EOMONTH(A1113,0),Target_Prices!A$2:A$38,Target_Prices!L$2:L$38)</f>
        <v>7.1856499999999999</v>
      </c>
      <c r="E1113">
        <f t="shared" si="38"/>
        <v>-3.1774580335731328E-2</v>
      </c>
      <c r="F1113">
        <f t="shared" si="37"/>
        <v>0.11232972136222909</v>
      </c>
    </row>
    <row r="1114" spans="1:6" x14ac:dyDescent="0.35">
      <c r="A1114" s="15">
        <v>43131</v>
      </c>
      <c r="B1114" t="s">
        <v>11</v>
      </c>
      <c r="C1114" s="4">
        <v>6.5579999999999998</v>
      </c>
      <c r="D1114" s="8">
        <f>LOOKUP(EOMONTH(A1114,0),Target_Prices!A$2:A$38,Target_Prices!L$2:L$38)</f>
        <v>7.1856499999999999</v>
      </c>
      <c r="E1114">
        <f t="shared" si="38"/>
        <v>1.5170278637770984E-2</v>
      </c>
      <c r="F1114">
        <f t="shared" si="37"/>
        <v>9.5707532784385499E-2</v>
      </c>
    </row>
    <row r="1115" spans="1:6" x14ac:dyDescent="0.35">
      <c r="A1115" s="16">
        <v>43159</v>
      </c>
      <c r="B1115" t="s">
        <v>11</v>
      </c>
      <c r="C1115" s="3">
        <v>6.0759999999999996</v>
      </c>
      <c r="D1115" s="8">
        <f>LOOKUP(EOMONTH(A1115,0),Target_Prices!A$2:A$38,Target_Prices!L$2:L$38)</f>
        <v>7.1856499999999999</v>
      </c>
      <c r="E1115">
        <f t="shared" si="38"/>
        <v>-7.349801768831965E-2</v>
      </c>
      <c r="F1115">
        <f t="shared" si="37"/>
        <v>0.1826283739302173</v>
      </c>
    </row>
    <row r="1116" spans="1:6" x14ac:dyDescent="0.35">
      <c r="A1116" s="15">
        <v>43189</v>
      </c>
      <c r="B1116" t="s">
        <v>11</v>
      </c>
      <c r="C1116" s="4">
        <v>5.9720000000000004</v>
      </c>
      <c r="D1116" s="8">
        <f>LOOKUP(EOMONTH(A1116,0),Target_Prices!A$2:A$38,Target_Prices!L$2:L$38)</f>
        <v>7.0592600000000001</v>
      </c>
      <c r="E1116">
        <f t="shared" si="38"/>
        <v>-1.711652402896624E-2</v>
      </c>
      <c r="F1116">
        <f t="shared" si="37"/>
        <v>0.1820596115204286</v>
      </c>
    </row>
    <row r="1117" spans="1:6" x14ac:dyDescent="0.35">
      <c r="A1117" s="16">
        <v>43220</v>
      </c>
      <c r="B1117" t="s">
        <v>11</v>
      </c>
      <c r="C1117" s="3">
        <v>6.4160000000000004</v>
      </c>
      <c r="D1117" s="8">
        <f>LOOKUP(EOMONTH(A1117,0),Target_Prices!A$2:A$38,Target_Prices!L$2:L$38)</f>
        <v>7.0592600000000001</v>
      </c>
      <c r="E1117">
        <f t="shared" si="38"/>
        <v>7.4346952444742209E-2</v>
      </c>
      <c r="F1117">
        <f t="shared" si="37"/>
        <v>0.10025872817955107</v>
      </c>
    </row>
    <row r="1118" spans="1:6" x14ac:dyDescent="0.35">
      <c r="A1118" s="15">
        <v>43251</v>
      </c>
      <c r="B1118" t="s">
        <v>11</v>
      </c>
      <c r="C1118" s="4">
        <v>6.0720000000000001</v>
      </c>
      <c r="D1118" s="8">
        <f>LOOKUP(EOMONTH(A1118,0),Target_Prices!A$2:A$38,Target_Prices!L$2:L$38)</f>
        <v>7.0592600000000001</v>
      </c>
      <c r="E1118">
        <f t="shared" si="38"/>
        <v>-5.361596009975067E-2</v>
      </c>
      <c r="F1118">
        <f t="shared" si="37"/>
        <v>0.16259222661396575</v>
      </c>
    </row>
    <row r="1119" spans="1:6" x14ac:dyDescent="0.35">
      <c r="A1119" s="16">
        <v>43280</v>
      </c>
      <c r="B1119" t="s">
        <v>11</v>
      </c>
      <c r="C1119" s="3">
        <v>6.6239999999999997</v>
      </c>
      <c r="D1119" s="8">
        <f>LOOKUP(EOMONTH(A1119,0),Target_Prices!A$2:A$38,Target_Prices!L$2:L$38)</f>
        <v>7.1779000000000002</v>
      </c>
      <c r="E1119">
        <f t="shared" si="38"/>
        <v>9.0909090909090828E-2</v>
      </c>
      <c r="F1119">
        <f t="shared" si="37"/>
        <v>8.3620169082125689E-2</v>
      </c>
    </row>
    <row r="1120" spans="1:6" x14ac:dyDescent="0.35">
      <c r="A1120" s="15">
        <v>43312</v>
      </c>
      <c r="B1120" t="s">
        <v>11</v>
      </c>
      <c r="C1120" s="4">
        <v>6.65</v>
      </c>
      <c r="D1120" s="8">
        <f>LOOKUP(EOMONTH(A1120,0),Target_Prices!A$2:A$38,Target_Prices!L$2:L$38)</f>
        <v>7.1779000000000002</v>
      </c>
      <c r="E1120">
        <f t="shared" si="38"/>
        <v>3.9251207729469328E-3</v>
      </c>
      <c r="F1120">
        <f t="shared" si="37"/>
        <v>7.9383458646616514E-2</v>
      </c>
    </row>
    <row r="1121" spans="1:6" x14ac:dyDescent="0.35">
      <c r="A1121" s="16">
        <v>43343</v>
      </c>
      <c r="B1121" t="s">
        <v>11</v>
      </c>
      <c r="C1121" s="3">
        <v>6.4219999999999997</v>
      </c>
      <c r="D1121" s="8">
        <f>LOOKUP(EOMONTH(A1121,0),Target_Prices!A$2:A$38,Target_Prices!L$2:L$38)</f>
        <v>7.1779000000000002</v>
      </c>
      <c r="E1121">
        <f t="shared" si="38"/>
        <v>-3.4285714285714364E-2</v>
      </c>
      <c r="F1121">
        <f t="shared" si="37"/>
        <v>0.11770476487075685</v>
      </c>
    </row>
    <row r="1122" spans="1:6" x14ac:dyDescent="0.35">
      <c r="A1122" s="15">
        <v>43371</v>
      </c>
      <c r="B1122" t="s">
        <v>11</v>
      </c>
      <c r="C1122" s="4">
        <v>6.3380000000000001</v>
      </c>
      <c r="D1122" s="8">
        <f>LOOKUP(EOMONTH(A1122,0),Target_Prices!A$2:A$38,Target_Prices!L$2:L$38)</f>
        <v>7.2795899999999998</v>
      </c>
      <c r="E1122">
        <f t="shared" si="38"/>
        <v>-1.3080037371535291E-2</v>
      </c>
      <c r="F1122">
        <f t="shared" si="37"/>
        <v>0.14856263805616909</v>
      </c>
    </row>
    <row r="1123" spans="1:6" x14ac:dyDescent="0.35">
      <c r="A1123" s="16">
        <v>43404</v>
      </c>
      <c r="B1123" t="s">
        <v>11</v>
      </c>
      <c r="C1123" s="3">
        <v>6.2560000000000002</v>
      </c>
      <c r="D1123" s="8">
        <f>LOOKUP(EOMONTH(A1123,0),Target_Prices!A$2:A$38,Target_Prices!L$2:L$38)</f>
        <v>7.2795899999999998</v>
      </c>
      <c r="E1123">
        <f t="shared" si="38"/>
        <v>-1.293783527926784E-2</v>
      </c>
      <c r="F1123">
        <f t="shared" si="37"/>
        <v>0.16361732736572882</v>
      </c>
    </row>
    <row r="1124" spans="1:6" x14ac:dyDescent="0.35">
      <c r="A1124" s="15">
        <v>43434</v>
      </c>
      <c r="B1124" t="s">
        <v>11</v>
      </c>
      <c r="C1124" s="4">
        <v>6.59</v>
      </c>
      <c r="D1124" s="8">
        <f>LOOKUP(EOMONTH(A1124,0),Target_Prices!A$2:A$38,Target_Prices!L$2:L$38)</f>
        <v>7.2795899999999998</v>
      </c>
      <c r="E1124">
        <f t="shared" si="38"/>
        <v>5.3388746803068932E-2</v>
      </c>
      <c r="F1124">
        <f t="shared" si="37"/>
        <v>0.10464188163884673</v>
      </c>
    </row>
    <row r="1125" spans="1:6" x14ac:dyDescent="0.35">
      <c r="A1125" s="16">
        <v>43465</v>
      </c>
      <c r="B1125" t="s">
        <v>11</v>
      </c>
      <c r="C1125" s="3">
        <v>7.0179999999999998</v>
      </c>
      <c r="D1125" s="8">
        <f>LOOKUP(EOMONTH(A1125,0),Target_Prices!A$2:A$38,Target_Prices!L$2:L$38)</f>
        <v>7.4026899999999998</v>
      </c>
      <c r="E1125">
        <f t="shared" si="38"/>
        <v>6.4946889226100035E-2</v>
      </c>
      <c r="F1125">
        <f t="shared" si="37"/>
        <v>5.4814762040467369E-2</v>
      </c>
    </row>
    <row r="1126" spans="1:6" x14ac:dyDescent="0.35">
      <c r="A1126" s="15">
        <v>43496</v>
      </c>
      <c r="B1126" t="s">
        <v>11</v>
      </c>
      <c r="C1126" s="4">
        <v>7.2</v>
      </c>
      <c r="D1126" s="8">
        <f>LOOKUP(EOMONTH(A1126,0),Target_Prices!A$2:A$38,Target_Prices!L$2:L$38)</f>
        <v>7.4026899999999998</v>
      </c>
      <c r="E1126">
        <f t="shared" si="38"/>
        <v>2.5933314334568358E-2</v>
      </c>
      <c r="F1126">
        <f t="shared" si="37"/>
        <v>2.815138888888883E-2</v>
      </c>
    </row>
    <row r="1127" spans="1:6" x14ac:dyDescent="0.35">
      <c r="A1127" s="16">
        <v>43524</v>
      </c>
      <c r="B1127" t="s">
        <v>11</v>
      </c>
      <c r="C1127" s="3">
        <v>7.3520000000000003</v>
      </c>
      <c r="D1127" s="8">
        <f>LOOKUP(EOMONTH(A1127,0),Target_Prices!A$2:A$38,Target_Prices!L$2:L$38)</f>
        <v>7.4026899999999998</v>
      </c>
      <c r="E1127">
        <f t="shared" si="38"/>
        <v>2.1111111111111081E-2</v>
      </c>
      <c r="F1127">
        <f t="shared" si="37"/>
        <v>6.8947225244830601E-3</v>
      </c>
    </row>
    <row r="1128" spans="1:6" x14ac:dyDescent="0.35">
      <c r="A1128" s="15">
        <v>43553</v>
      </c>
      <c r="B1128" t="s">
        <v>11</v>
      </c>
      <c r="C1128" s="4">
        <v>7.8259999999999996</v>
      </c>
      <c r="D1128" s="8">
        <f>LOOKUP(EOMONTH(A1128,0),Target_Prices!A$2:A$38,Target_Prices!L$2:L$38)</f>
        <v>7.7904200000000001</v>
      </c>
      <c r="E1128">
        <f t="shared" si="38"/>
        <v>6.4472252448313228E-2</v>
      </c>
      <c r="F1128">
        <f t="shared" si="37"/>
        <v>-4.5463838487093669E-3</v>
      </c>
    </row>
    <row r="1129" spans="1:6" x14ac:dyDescent="0.35">
      <c r="A1129" s="16">
        <v>43585</v>
      </c>
      <c r="B1129" t="s">
        <v>11</v>
      </c>
      <c r="C1129" s="3">
        <v>8.0980000000000008</v>
      </c>
      <c r="D1129" s="8">
        <f>LOOKUP(EOMONTH(A1129,0),Target_Prices!A$2:A$38,Target_Prices!L$2:L$38)</f>
        <v>7.7904200000000001</v>
      </c>
      <c r="E1129">
        <f t="shared" si="38"/>
        <v>3.4755941732686146E-2</v>
      </c>
      <c r="F1129">
        <f t="shared" si="37"/>
        <v>-3.7982217831563421E-2</v>
      </c>
    </row>
    <row r="1130" spans="1:6" x14ac:dyDescent="0.35">
      <c r="A1130" s="15">
        <v>43616</v>
      </c>
      <c r="B1130" t="s">
        <v>11</v>
      </c>
      <c r="C1130" s="4">
        <v>8.3140000000000001</v>
      </c>
      <c r="D1130" s="8">
        <f>LOOKUP(EOMONTH(A1130,0),Target_Prices!A$2:A$38,Target_Prices!L$2:L$38)</f>
        <v>7.7904200000000001</v>
      </c>
      <c r="E1130">
        <f t="shared" si="38"/>
        <v>2.6673252654976443E-2</v>
      </c>
      <c r="F1130">
        <f t="shared" si="37"/>
        <v>-6.297570363242723E-2</v>
      </c>
    </row>
    <row r="1131" spans="1:6" x14ac:dyDescent="0.35">
      <c r="A1131" s="16">
        <v>43644</v>
      </c>
      <c r="B1131" t="s">
        <v>11</v>
      </c>
      <c r="C1131" s="3">
        <v>8.766</v>
      </c>
      <c r="D1131" s="8">
        <f>LOOKUP(EOMONTH(A1131,0),Target_Prices!A$2:A$38,Target_Prices!L$2:L$38)</f>
        <v>8.5592299999999994</v>
      </c>
      <c r="E1131">
        <f t="shared" si="38"/>
        <v>5.4366129420255094E-2</v>
      </c>
      <c r="F1131">
        <f t="shared" si="37"/>
        <v>-2.3587725302304421E-2</v>
      </c>
    </row>
    <row r="1132" spans="1:6" x14ac:dyDescent="0.35">
      <c r="A1132" s="15">
        <v>43677</v>
      </c>
      <c r="B1132" t="s">
        <v>11</v>
      </c>
      <c r="C1132" s="4">
        <v>8.57</v>
      </c>
      <c r="D1132" s="8">
        <f>LOOKUP(EOMONTH(A1132,0),Target_Prices!A$2:A$38,Target_Prices!L$2:L$38)</f>
        <v>8.5592299999999994</v>
      </c>
      <c r="E1132">
        <f t="shared" si="38"/>
        <v>-2.2359114761578813E-2</v>
      </c>
      <c r="F1132">
        <f t="shared" si="37"/>
        <v>-1.25670945157536E-3</v>
      </c>
    </row>
    <row r="1133" spans="1:6" x14ac:dyDescent="0.35">
      <c r="A1133" s="16">
        <v>43707</v>
      </c>
      <c r="B1133" t="s">
        <v>11</v>
      </c>
      <c r="C1133" s="3">
        <v>9.3520000000000003</v>
      </c>
      <c r="D1133" s="8">
        <f>LOOKUP(EOMONTH(A1133,0),Target_Prices!A$2:A$38,Target_Prices!L$2:L$38)</f>
        <v>8.5592299999999994</v>
      </c>
      <c r="E1133">
        <f t="shared" si="38"/>
        <v>9.1248541423570639E-2</v>
      </c>
      <c r="F1133">
        <f t="shared" si="37"/>
        <v>-8.4770102651839263E-2</v>
      </c>
    </row>
    <row r="1134" spans="1:6" x14ac:dyDescent="0.35">
      <c r="A1134" s="15">
        <v>43738</v>
      </c>
      <c r="B1134" t="s">
        <v>11</v>
      </c>
      <c r="C1134" s="4">
        <v>9.5359999999999996</v>
      </c>
      <c r="D1134" s="8">
        <f>LOOKUP(EOMONTH(A1134,0),Target_Prices!A$2:A$38,Target_Prices!L$2:L$38)</f>
        <v>9.1015700000000006</v>
      </c>
      <c r="E1134">
        <f t="shared" si="38"/>
        <v>1.9674935842600494E-2</v>
      </c>
      <c r="F1134">
        <f t="shared" si="37"/>
        <v>-4.5556837248322046E-2</v>
      </c>
    </row>
    <row r="1135" spans="1:6" x14ac:dyDescent="0.35">
      <c r="A1135" s="16">
        <v>43769</v>
      </c>
      <c r="B1135" t="s">
        <v>11</v>
      </c>
      <c r="C1135" s="3">
        <v>9.2080000000000002</v>
      </c>
      <c r="D1135" s="8">
        <f>LOOKUP(EOMONTH(A1135,0),Target_Prices!A$2:A$38,Target_Prices!L$2:L$38)</f>
        <v>9.1015700000000006</v>
      </c>
      <c r="E1135">
        <f t="shared" si="38"/>
        <v>-3.439597315436238E-2</v>
      </c>
      <c r="F1135">
        <f t="shared" si="37"/>
        <v>-1.1558427454387444E-2</v>
      </c>
    </row>
    <row r="1136" spans="1:6" x14ac:dyDescent="0.35">
      <c r="A1136" s="15">
        <v>43798</v>
      </c>
      <c r="B1136" t="s">
        <v>11</v>
      </c>
      <c r="C1136" s="4">
        <v>8.9279995000000003</v>
      </c>
      <c r="D1136" s="8">
        <f>LOOKUP(EOMONTH(A1136,0),Target_Prices!A$2:A$38,Target_Prices!L$2:L$38)</f>
        <v>9.1015700000000006</v>
      </c>
      <c r="E1136">
        <f t="shared" si="38"/>
        <v>-3.0408394874022582E-2</v>
      </c>
      <c r="F1136">
        <f t="shared" si="37"/>
        <v>1.944114132174854E-2</v>
      </c>
    </row>
    <row r="1137" spans="1:6" x14ac:dyDescent="0.35">
      <c r="A1137" s="16">
        <v>43830</v>
      </c>
      <c r="B1137" t="s">
        <v>11</v>
      </c>
      <c r="C1137" s="3">
        <v>9.18</v>
      </c>
      <c r="D1137" s="8">
        <f>LOOKUP(EOMONTH(A1137,0),Target_Prices!A$2:A$38,Target_Prices!L$2:L$38)</f>
        <v>9.2658299999999993</v>
      </c>
      <c r="E1137">
        <f t="shared" si="38"/>
        <v>2.8225864035946513E-2</v>
      </c>
      <c r="F1137">
        <f t="shared" si="37"/>
        <v>9.3496732026143396E-3</v>
      </c>
    </row>
    <row r="1138" spans="1:6" x14ac:dyDescent="0.35">
      <c r="A1138" s="15">
        <v>43861</v>
      </c>
      <c r="B1138" t="s">
        <v>11</v>
      </c>
      <c r="C1138" s="4">
        <v>9.8699999999999992</v>
      </c>
      <c r="D1138" s="8">
        <f>LOOKUP(EOMONTH(A1138,0),Target_Prices!A$2:A$38,Target_Prices!L$2:L$38)</f>
        <v>9.2658299999999993</v>
      </c>
      <c r="E1138">
        <f t="shared" si="38"/>
        <v>7.5163398692810413E-2</v>
      </c>
      <c r="F1138">
        <f t="shared" si="37"/>
        <v>-6.1212765957446798E-2</v>
      </c>
    </row>
    <row r="1139" spans="1:6" x14ac:dyDescent="0.35">
      <c r="A1139" s="16">
        <v>43889</v>
      </c>
      <c r="B1139" t="s">
        <v>11</v>
      </c>
      <c r="C1139" s="3">
        <v>10.32</v>
      </c>
      <c r="D1139" s="8">
        <f>LOOKUP(EOMONTH(A1139,0),Target_Prices!A$2:A$38,Target_Prices!L$2:L$38)</f>
        <v>9.2658299999999993</v>
      </c>
      <c r="E1139">
        <f t="shared" si="38"/>
        <v>4.5592705167173397E-2</v>
      </c>
      <c r="F1139">
        <f t="shared" si="37"/>
        <v>-0.10214825581395358</v>
      </c>
    </row>
    <row r="1140" spans="1:6" x14ac:dyDescent="0.35">
      <c r="A1140" s="15">
        <v>43921</v>
      </c>
      <c r="B1140" t="s">
        <v>11</v>
      </c>
      <c r="C1140" s="4">
        <v>8.984</v>
      </c>
      <c r="D1140" s="8">
        <f>LOOKUP(EOMONTH(A1140,0),Target_Prices!A$2:A$38,Target_Prices!L$2:L$38)</f>
        <v>9.9329599999999996</v>
      </c>
      <c r="E1140">
        <f t="shared" si="38"/>
        <v>-0.12945736434108535</v>
      </c>
      <c r="F1140">
        <f t="shared" si="37"/>
        <v>0.10562778272484412</v>
      </c>
    </row>
    <row r="1141" spans="1:6" x14ac:dyDescent="0.35">
      <c r="A1141" s="16">
        <v>43951</v>
      </c>
      <c r="B1141" t="s">
        <v>11</v>
      </c>
      <c r="C1141" s="3">
        <v>9.14</v>
      </c>
      <c r="D1141" s="8">
        <f>LOOKUP(EOMONTH(A1141,0),Target_Prices!A$2:A$38,Target_Prices!L$2:L$38)</f>
        <v>9.9329599999999996</v>
      </c>
      <c r="E1141">
        <f t="shared" si="38"/>
        <v>1.7364203027604663E-2</v>
      </c>
      <c r="F1141">
        <f t="shared" si="37"/>
        <v>8.6757111597374065E-2</v>
      </c>
    </row>
    <row r="1142" spans="1:6" x14ac:dyDescent="0.35">
      <c r="A1142" s="15">
        <v>43980</v>
      </c>
      <c r="B1142" t="s">
        <v>11</v>
      </c>
      <c r="C1142" s="4">
        <v>9.6880000000000006</v>
      </c>
      <c r="D1142" s="8">
        <f>LOOKUP(EOMONTH(A1142,0),Target_Prices!A$2:A$38,Target_Prices!L$2:L$38)</f>
        <v>9.9329599999999996</v>
      </c>
      <c r="E1142">
        <f t="shared" si="38"/>
        <v>5.9956236323851275E-2</v>
      </c>
      <c r="F1142">
        <f t="shared" si="37"/>
        <v>2.5284888521882633E-2</v>
      </c>
    </row>
    <row r="1143" spans="1:6" x14ac:dyDescent="0.35">
      <c r="A1143" s="16">
        <v>44012</v>
      </c>
      <c r="B1143" t="s">
        <v>11</v>
      </c>
      <c r="C1143" s="3">
        <v>10.32</v>
      </c>
      <c r="D1143" s="8">
        <f>LOOKUP(EOMONTH(A1143,0),Target_Prices!A$2:A$38,Target_Prices!L$2:L$38)</f>
        <v>10.1142</v>
      </c>
      <c r="E1143">
        <f t="shared" si="38"/>
        <v>6.523534269199005E-2</v>
      </c>
      <c r="F1143">
        <f t="shared" si="37"/>
        <v>-1.9941860465116278E-2</v>
      </c>
    </row>
    <row r="1144" spans="1:6" x14ac:dyDescent="0.35">
      <c r="A1144" s="15">
        <v>44043</v>
      </c>
      <c r="B1144" t="s">
        <v>11</v>
      </c>
      <c r="C1144" s="4">
        <v>10.92</v>
      </c>
      <c r="D1144" s="8">
        <f>LOOKUP(EOMONTH(A1144,0),Target_Prices!A$2:A$38,Target_Prices!L$2:L$38)</f>
        <v>10.1142</v>
      </c>
      <c r="E1144">
        <f t="shared" si="38"/>
        <v>5.8139534883720811E-2</v>
      </c>
      <c r="F1144">
        <f t="shared" si="37"/>
        <v>-7.3791208791208762E-2</v>
      </c>
    </row>
    <row r="1145" spans="1:6" x14ac:dyDescent="0.35">
      <c r="A1145" s="16">
        <v>44074</v>
      </c>
      <c r="B1145" t="s">
        <v>11</v>
      </c>
      <c r="C1145" s="3">
        <v>10.55</v>
      </c>
      <c r="D1145" s="8">
        <f>LOOKUP(EOMONTH(A1145,0),Target_Prices!A$2:A$38,Target_Prices!L$2:L$38)</f>
        <v>10.1142</v>
      </c>
      <c r="E1145">
        <f t="shared" si="38"/>
        <v>-3.3882783882783762E-2</v>
      </c>
      <c r="F1145">
        <f t="shared" si="37"/>
        <v>-4.1308056872037952E-2</v>
      </c>
    </row>
    <row r="1146" spans="1:6" x14ac:dyDescent="0.35">
      <c r="A1146" s="15">
        <v>44104</v>
      </c>
      <c r="B1146" t="s">
        <v>11</v>
      </c>
      <c r="C1146" s="4">
        <v>10.51</v>
      </c>
      <c r="D1146" s="8">
        <f>LOOKUP(EOMONTH(A1146,0),Target_Prices!A$2:A$38,Target_Prices!L$2:L$38)</f>
        <v>11.0571</v>
      </c>
      <c r="E1146">
        <f t="shared" si="38"/>
        <v>-3.7914691943128354E-3</v>
      </c>
      <c r="F1146">
        <f t="shared" si="37"/>
        <v>5.2055185537583287E-2</v>
      </c>
    </row>
    <row r="1147" spans="1:6" x14ac:dyDescent="0.35">
      <c r="A1147" s="16">
        <v>44134</v>
      </c>
      <c r="B1147" t="s">
        <v>11</v>
      </c>
      <c r="C1147" s="3">
        <v>10.125</v>
      </c>
      <c r="D1147" s="8">
        <f>LOOKUP(EOMONTH(A1147,0),Target_Prices!A$2:A$38,Target_Prices!L$2:L$38)</f>
        <v>11.0571</v>
      </c>
      <c r="E1147">
        <f t="shared" si="38"/>
        <v>-3.6631779257849661E-2</v>
      </c>
      <c r="F1147">
        <f t="shared" si="37"/>
        <v>9.2059259259259271E-2</v>
      </c>
    </row>
    <row r="1148" spans="1:6" x14ac:dyDescent="0.35">
      <c r="A1148" s="15">
        <v>44165</v>
      </c>
      <c r="B1148" t="s">
        <v>11</v>
      </c>
      <c r="C1148" s="4">
        <v>11.445</v>
      </c>
      <c r="D1148" s="8">
        <f>LOOKUP(EOMONTH(A1148,0),Target_Prices!A$2:A$38,Target_Prices!L$2:L$38)</f>
        <v>11.0571</v>
      </c>
      <c r="E1148">
        <f t="shared" si="38"/>
        <v>0.13037037037037047</v>
      </c>
      <c r="F1148">
        <f t="shared" si="37"/>
        <v>-3.3892529488859777E-2</v>
      </c>
    </row>
    <row r="1149" spans="1:6" x14ac:dyDescent="0.35">
      <c r="A1149" s="16">
        <v>44196</v>
      </c>
      <c r="B1149" t="s">
        <v>11</v>
      </c>
      <c r="C1149" s="3">
        <v>11.7</v>
      </c>
      <c r="D1149" s="8">
        <f>LOOKUP(EOMONTH(A1149,0),Target_Prices!A$2:A$38,Target_Prices!L$2:L$38)</f>
        <v>11.5746</v>
      </c>
      <c r="E1149">
        <f t="shared" si="38"/>
        <v>2.2280471821756187E-2</v>
      </c>
      <c r="F1149">
        <f t="shared" si="37"/>
        <v>-1.0717948717948639E-2</v>
      </c>
    </row>
    <row r="1150" spans="1:6" x14ac:dyDescent="0.35">
      <c r="A1150" s="15">
        <v>44225</v>
      </c>
      <c r="B1150" t="s">
        <v>11</v>
      </c>
      <c r="C1150" s="4">
        <v>11.185</v>
      </c>
      <c r="D1150" s="8">
        <f>LOOKUP(EOMONTH(A1150,0),Target_Prices!A$2:A$38,Target_Prices!L$2:L$38)</f>
        <v>11.5746</v>
      </c>
      <c r="E1150">
        <f t="shared" si="38"/>
        <v>-4.4017094017093972E-2</v>
      </c>
      <c r="F1150">
        <f t="shared" si="37"/>
        <v>3.4832364774251202E-2</v>
      </c>
    </row>
    <row r="1151" spans="1:6" x14ac:dyDescent="0.35">
      <c r="A1151" s="16">
        <v>44253</v>
      </c>
      <c r="B1151" t="s">
        <v>11</v>
      </c>
      <c r="C1151" s="3">
        <v>10.425000000000001</v>
      </c>
      <c r="D1151" s="8">
        <f>LOOKUP(EOMONTH(A1151,0),Target_Prices!A$2:A$38,Target_Prices!L$2:L$38)</f>
        <v>11.5746</v>
      </c>
      <c r="E1151">
        <f t="shared" si="38"/>
        <v>-6.7948144836834978E-2</v>
      </c>
      <c r="F1151">
        <f t="shared" si="37"/>
        <v>0.11027338129496397</v>
      </c>
    </row>
    <row r="1152" spans="1:6" x14ac:dyDescent="0.35">
      <c r="A1152" s="15">
        <v>44286</v>
      </c>
      <c r="B1152" t="s">
        <v>11</v>
      </c>
      <c r="C1152" s="4">
        <v>10.984999999999999</v>
      </c>
      <c r="D1152" s="8">
        <f>LOOKUP(EOMONTH(A1152,0),Target_Prices!A$2:A$38,Target_Prices!L$2:L$38)</f>
        <v>12.034599999999999</v>
      </c>
      <c r="E1152">
        <f t="shared" si="38"/>
        <v>5.3717026378896859E-2</v>
      </c>
      <c r="F1152">
        <f t="shared" si="37"/>
        <v>9.5548475193445601E-2</v>
      </c>
    </row>
    <row r="1153" spans="1:6" x14ac:dyDescent="0.35">
      <c r="A1153" s="16">
        <v>44316</v>
      </c>
      <c r="B1153" t="s">
        <v>11</v>
      </c>
      <c r="C1153" s="3">
        <v>11.234999999999999</v>
      </c>
      <c r="D1153" s="8">
        <f>LOOKUP(EOMONTH(A1153,0),Target_Prices!A$2:A$38,Target_Prices!L$2:L$38)</f>
        <v>12.034599999999999</v>
      </c>
      <c r="E1153">
        <f t="shared" si="38"/>
        <v>2.2758306781975435E-2</v>
      </c>
      <c r="F1153">
        <f t="shared" si="37"/>
        <v>7.1170449488206486E-2</v>
      </c>
    </row>
    <row r="1154" spans="1:6" x14ac:dyDescent="0.35">
      <c r="A1154" s="15">
        <v>44347</v>
      </c>
      <c r="B1154" t="s">
        <v>11</v>
      </c>
      <c r="C1154" s="4">
        <v>10.994999999999999</v>
      </c>
      <c r="D1154" s="8">
        <f>LOOKUP(EOMONTH(A1154,0),Target_Prices!A$2:A$38,Target_Prices!L$2:L$38)</f>
        <v>12.034599999999999</v>
      </c>
      <c r="E1154">
        <f t="shared" si="38"/>
        <v>-2.1361815754339153E-2</v>
      </c>
      <c r="F1154">
        <f t="shared" si="37"/>
        <v>9.4552069122328344E-2</v>
      </c>
    </row>
    <row r="1155" spans="1:6" x14ac:dyDescent="0.35">
      <c r="A1155" s="16">
        <v>44377</v>
      </c>
      <c r="B1155" t="s">
        <v>11</v>
      </c>
      <c r="C1155" s="3">
        <v>10.28</v>
      </c>
      <c r="D1155" s="8">
        <f>LOOKUP(EOMONTH(A1155,0),Target_Prices!A$2:A$38,Target_Prices!L$2:L$38)</f>
        <v>12.1854</v>
      </c>
      <c r="E1155">
        <f t="shared" si="38"/>
        <v>-6.5029558890404737E-2</v>
      </c>
      <c r="F1155">
        <f t="shared" ref="F1155:F1218" si="39">(D1155-C1155)/C1155</f>
        <v>0.18535019455252921</v>
      </c>
    </row>
    <row r="1156" spans="1:6" x14ac:dyDescent="0.35">
      <c r="A1156" s="15">
        <v>44407</v>
      </c>
      <c r="B1156" t="s">
        <v>11</v>
      </c>
      <c r="C1156" s="4">
        <v>10.16</v>
      </c>
      <c r="D1156" s="8">
        <f>LOOKUP(EOMONTH(A1156,0),Target_Prices!A$2:A$38,Target_Prices!L$2:L$38)</f>
        <v>12.1854</v>
      </c>
      <c r="E1156">
        <f t="shared" si="38"/>
        <v>-1.1673151750972721E-2</v>
      </c>
      <c r="F1156">
        <f t="shared" si="39"/>
        <v>0.19935039370078733</v>
      </c>
    </row>
    <row r="1157" spans="1:6" x14ac:dyDescent="0.35">
      <c r="A1157" s="16">
        <v>44439</v>
      </c>
      <c r="B1157" t="s">
        <v>11</v>
      </c>
      <c r="C1157" s="3">
        <v>10.494999999999999</v>
      </c>
      <c r="D1157" s="8">
        <f>LOOKUP(EOMONTH(A1157,0),Target_Prices!A$2:A$38,Target_Prices!L$2:L$38)</f>
        <v>12.1854</v>
      </c>
      <c r="E1157">
        <f t="shared" si="38"/>
        <v>3.297244094488172E-2</v>
      </c>
      <c r="F1157">
        <f t="shared" si="39"/>
        <v>0.16106717484516442</v>
      </c>
    </row>
    <row r="1158" spans="1:6" x14ac:dyDescent="0.35">
      <c r="A1158" s="15">
        <v>44469</v>
      </c>
      <c r="B1158" t="s">
        <v>11</v>
      </c>
      <c r="C1158" s="4">
        <v>8.6839999999999993</v>
      </c>
      <c r="D1158" s="8">
        <f>LOOKUP(EOMONTH(A1158,0),Target_Prices!A$2:A$38,Target_Prices!L$2:L$38)</f>
        <v>11.861700000000001</v>
      </c>
      <c r="E1158">
        <f t="shared" si="38"/>
        <v>-0.17255836112434497</v>
      </c>
      <c r="F1158">
        <f t="shared" si="39"/>
        <v>0.36592584062643962</v>
      </c>
    </row>
    <row r="1159" spans="1:6" x14ac:dyDescent="0.35">
      <c r="A1159" s="16">
        <v>44498</v>
      </c>
      <c r="B1159" t="s">
        <v>11</v>
      </c>
      <c r="C1159" s="3">
        <v>10.215</v>
      </c>
      <c r="D1159" s="8">
        <f>LOOKUP(EOMONTH(A1159,0),Target_Prices!A$2:A$38,Target_Prices!L$2:L$38)</f>
        <v>11.861700000000001</v>
      </c>
      <c r="E1159">
        <f t="shared" si="38"/>
        <v>0.17630124366651323</v>
      </c>
      <c r="F1159">
        <f t="shared" si="39"/>
        <v>0.16120411160058748</v>
      </c>
    </row>
    <row r="1160" spans="1:6" x14ac:dyDescent="0.35">
      <c r="A1160" s="15">
        <v>44530</v>
      </c>
      <c r="B1160" t="s">
        <v>11</v>
      </c>
      <c r="C1160" s="4">
        <v>9.9039999999999999</v>
      </c>
      <c r="D1160" s="8">
        <f>LOOKUP(EOMONTH(A1160,0),Target_Prices!A$2:A$38,Target_Prices!L$2:L$38)</f>
        <v>11.861700000000001</v>
      </c>
      <c r="E1160">
        <f t="shared" si="38"/>
        <v>-3.044542339696521E-2</v>
      </c>
      <c r="F1160">
        <f t="shared" si="39"/>
        <v>0.19766760904684985</v>
      </c>
    </row>
    <row r="1161" spans="1:6" x14ac:dyDescent="0.35">
      <c r="A1161" s="16">
        <v>44561</v>
      </c>
      <c r="B1161" t="s">
        <v>11</v>
      </c>
      <c r="C1161" s="3">
        <v>10.41</v>
      </c>
      <c r="D1161" s="8">
        <f>LOOKUP(EOMONTH(A1161,0),Target_Prices!A$2:A$38,Target_Prices!L$2:L$38)</f>
        <v>11.8292</v>
      </c>
      <c r="E1161">
        <f t="shared" si="38"/>
        <v>5.1090468497576813E-2</v>
      </c>
      <c r="F1161">
        <f t="shared" si="39"/>
        <v>0.13633045148895293</v>
      </c>
    </row>
    <row r="1162" spans="1:6" x14ac:dyDescent="0.35">
      <c r="A1162" s="15">
        <v>44592</v>
      </c>
      <c r="B1162" t="s">
        <v>11</v>
      </c>
      <c r="C1162" s="4">
        <v>10.16</v>
      </c>
      <c r="D1162" s="8">
        <f>LOOKUP(EOMONTH(A1162,0),Target_Prices!A$2:A$38,Target_Prices!L$2:L$38)</f>
        <v>11.8292</v>
      </c>
      <c r="E1162">
        <f t="shared" si="38"/>
        <v>-2.4015369836695499E-2</v>
      </c>
      <c r="F1162">
        <f t="shared" si="39"/>
        <v>0.16429133858267717</v>
      </c>
    </row>
    <row r="1163" spans="1:6" x14ac:dyDescent="0.35">
      <c r="A1163" s="16">
        <v>44620</v>
      </c>
      <c r="B1163" t="s">
        <v>11</v>
      </c>
      <c r="C1163" s="3">
        <v>10.18</v>
      </c>
      <c r="D1163" s="8">
        <f>LOOKUP(EOMONTH(A1163,0),Target_Prices!A$2:A$38,Target_Prices!L$2:L$38)</f>
        <v>11.8292</v>
      </c>
      <c r="E1163">
        <f t="shared" si="38"/>
        <v>1.9685039370078705E-3</v>
      </c>
      <c r="F1163">
        <f t="shared" si="39"/>
        <v>0.16200392927308452</v>
      </c>
    </row>
    <row r="1164" spans="1:6" x14ac:dyDescent="0.35">
      <c r="A1164" s="15">
        <v>44651</v>
      </c>
      <c r="B1164" t="s">
        <v>11</v>
      </c>
      <c r="C1164" s="4">
        <v>9.92</v>
      </c>
      <c r="D1164" s="8">
        <f>LOOKUP(EOMONTH(A1164,0),Target_Prices!A$2:A$38,Target_Prices!L$2:L$38)</f>
        <v>11.895200000000001</v>
      </c>
      <c r="E1164">
        <f t="shared" si="38"/>
        <v>-2.5540275049115935E-2</v>
      </c>
      <c r="F1164">
        <f t="shared" si="39"/>
        <v>0.19911290322580655</v>
      </c>
    </row>
    <row r="1165" spans="1:6" x14ac:dyDescent="0.35">
      <c r="A1165" s="16">
        <v>44680</v>
      </c>
      <c r="B1165" t="s">
        <v>11</v>
      </c>
      <c r="C1165" s="3">
        <v>11.01</v>
      </c>
      <c r="D1165" s="8">
        <f>LOOKUP(EOMONTH(A1165,0),Target_Prices!A$2:A$38,Target_Prices!L$2:L$38)</f>
        <v>11.895200000000001</v>
      </c>
      <c r="E1165">
        <f t="shared" si="38"/>
        <v>0.1098790322580645</v>
      </c>
      <c r="F1165">
        <f t="shared" si="39"/>
        <v>8.0399636693914728E-2</v>
      </c>
    </row>
    <row r="1166" spans="1:6" x14ac:dyDescent="0.35">
      <c r="A1166" s="15">
        <v>44712</v>
      </c>
      <c r="B1166" t="s">
        <v>11</v>
      </c>
      <c r="C1166" s="4">
        <v>11.035</v>
      </c>
      <c r="D1166" s="8">
        <f>LOOKUP(EOMONTH(A1166,0),Target_Prices!A$2:A$38,Target_Prices!L$2:L$38)</f>
        <v>11.895200000000001</v>
      </c>
      <c r="E1166">
        <f t="shared" si="38"/>
        <v>2.2706630336057909E-3</v>
      </c>
      <c r="F1166">
        <f t="shared" si="39"/>
        <v>7.795197100135938E-2</v>
      </c>
    </row>
    <row r="1167" spans="1:6" x14ac:dyDescent="0.35">
      <c r="A1167" s="16">
        <v>44742</v>
      </c>
      <c r="B1167" t="s">
        <v>11</v>
      </c>
      <c r="C1167" s="3">
        <v>9.8960000000000008</v>
      </c>
      <c r="D1167" s="8">
        <f>LOOKUP(EOMONTH(A1167,0),Target_Prices!A$2:A$38,Target_Prices!L$2:L$38)</f>
        <v>12.233599999999999</v>
      </c>
      <c r="E1167">
        <f t="shared" si="38"/>
        <v>-0.10321703670140459</v>
      </c>
      <c r="F1167">
        <f t="shared" si="39"/>
        <v>0.2362166531932092</v>
      </c>
    </row>
    <row r="1168" spans="1:6" x14ac:dyDescent="0.35">
      <c r="A1168" s="15">
        <v>44771</v>
      </c>
      <c r="B1168" t="s">
        <v>11</v>
      </c>
      <c r="C1168" s="4">
        <v>10.43</v>
      </c>
      <c r="D1168" s="8">
        <f>LOOKUP(EOMONTH(A1168,0),Target_Prices!A$2:A$38,Target_Prices!L$2:L$38)</f>
        <v>12.233599999999999</v>
      </c>
      <c r="E1168">
        <f t="shared" ref="E1168:E1211" si="40">(C1168/C1167)-1</f>
        <v>5.396119644300712E-2</v>
      </c>
      <c r="F1168">
        <f t="shared" si="39"/>
        <v>0.17292425695110253</v>
      </c>
    </row>
    <row r="1169" spans="1:6" x14ac:dyDescent="0.35">
      <c r="A1169" s="16">
        <v>44804</v>
      </c>
      <c r="B1169" t="s">
        <v>11</v>
      </c>
      <c r="C1169" s="3">
        <v>10.385</v>
      </c>
      <c r="D1169" s="8">
        <f>LOOKUP(EOMONTH(A1169,0),Target_Prices!A$2:A$38,Target_Prices!L$2:L$38)</f>
        <v>12.233599999999999</v>
      </c>
      <c r="E1169">
        <f t="shared" si="40"/>
        <v>-4.3144774688398391E-3</v>
      </c>
      <c r="F1169">
        <f t="shared" si="39"/>
        <v>0.17800674049109286</v>
      </c>
    </row>
    <row r="1170" spans="1:6" x14ac:dyDescent="0.35">
      <c r="A1170" s="15">
        <v>44834</v>
      </c>
      <c r="B1170" t="s">
        <v>11</v>
      </c>
      <c r="C1170" s="4">
        <v>9.5820000000000007</v>
      </c>
      <c r="D1170" s="8">
        <f>LOOKUP(EOMONTH(A1170,0),Target_Prices!A$2:A$38,Target_Prices!L$2:L$38)</f>
        <v>12.148</v>
      </c>
      <c r="E1170">
        <f t="shared" si="40"/>
        <v>-7.7323062108810681E-2</v>
      </c>
      <c r="F1170">
        <f t="shared" si="39"/>
        <v>0.26779378000417436</v>
      </c>
    </row>
    <row r="1171" spans="1:6" x14ac:dyDescent="0.35">
      <c r="A1171" s="16">
        <v>44865</v>
      </c>
      <c r="B1171" t="s">
        <v>11</v>
      </c>
      <c r="C1171" s="3">
        <v>10.275</v>
      </c>
      <c r="D1171" s="8">
        <f>LOOKUP(EOMONTH(A1171,0),Target_Prices!A$2:A$38,Target_Prices!L$2:L$38)</f>
        <v>12.148</v>
      </c>
      <c r="E1171">
        <f t="shared" si="40"/>
        <v>7.2323105823418832E-2</v>
      </c>
      <c r="F1171">
        <f t="shared" si="39"/>
        <v>0.18228710462287098</v>
      </c>
    </row>
    <row r="1172" spans="1:6" x14ac:dyDescent="0.35">
      <c r="A1172" s="15">
        <v>44895</v>
      </c>
      <c r="B1172" t="s">
        <v>11</v>
      </c>
      <c r="C1172" s="4">
        <v>10.78</v>
      </c>
      <c r="D1172" s="8">
        <f>LOOKUP(EOMONTH(A1172,0),Target_Prices!A$2:A$38,Target_Prices!L$2:L$38)</f>
        <v>12.148</v>
      </c>
      <c r="E1172">
        <f t="shared" si="40"/>
        <v>4.9148418491484103E-2</v>
      </c>
      <c r="F1172">
        <f t="shared" si="39"/>
        <v>0.12690166975881265</v>
      </c>
    </row>
    <row r="1173" spans="1:6" x14ac:dyDescent="0.35">
      <c r="A1173" s="16">
        <v>44925</v>
      </c>
      <c r="B1173" t="s">
        <v>11</v>
      </c>
      <c r="C1173" s="3">
        <v>10.93</v>
      </c>
      <c r="D1173" s="8">
        <f>LOOKUP(EOMONTH(A1173,0),Target_Prices!A$2:A$38,Target_Prices!L$2:L$38)</f>
        <v>11.955299999999999</v>
      </c>
      <c r="E1173">
        <f t="shared" si="40"/>
        <v>1.3914656771799594E-2</v>
      </c>
      <c r="F1173">
        <f t="shared" si="39"/>
        <v>9.3806038426349464E-2</v>
      </c>
    </row>
    <row r="1174" spans="1:6" x14ac:dyDescent="0.35">
      <c r="A1174" s="15">
        <v>44957</v>
      </c>
      <c r="B1174" t="s">
        <v>11</v>
      </c>
      <c r="C1174" s="4">
        <v>10.744999999999999</v>
      </c>
      <c r="D1174" s="8">
        <f>LOOKUP(EOMONTH(A1174,0),Target_Prices!A$2:A$38,Target_Prices!L$2:L$38)</f>
        <v>11.955299999999999</v>
      </c>
      <c r="E1174">
        <f t="shared" si="40"/>
        <v>-1.6925892040256185E-2</v>
      </c>
      <c r="F1174">
        <f t="shared" si="39"/>
        <v>0.11263843648208471</v>
      </c>
    </row>
    <row r="1175" spans="1:6" x14ac:dyDescent="0.35">
      <c r="A1175" s="16">
        <v>44985</v>
      </c>
      <c r="B1175" t="s">
        <v>11</v>
      </c>
      <c r="C1175" s="3">
        <v>10.865</v>
      </c>
      <c r="D1175" s="8">
        <f>LOOKUP(EOMONTH(A1175,0),Target_Prices!A$2:A$38,Target_Prices!L$2:L$38)</f>
        <v>11.955299999999999</v>
      </c>
      <c r="E1175">
        <f t="shared" si="40"/>
        <v>1.1167985109353351E-2</v>
      </c>
      <c r="F1175">
        <f t="shared" si="39"/>
        <v>0.10034974689369527</v>
      </c>
    </row>
    <row r="1176" spans="1:6" x14ac:dyDescent="0.35">
      <c r="A1176" s="15">
        <v>45016</v>
      </c>
      <c r="B1176" t="s">
        <v>11</v>
      </c>
      <c r="C1176" s="4">
        <v>11.484999999999999</v>
      </c>
      <c r="D1176" s="8">
        <f>LOOKUP(EOMONTH(A1176,0),Target_Prices!A$2:A$38,Target_Prices!L$2:L$38)</f>
        <v>11.981199999999999</v>
      </c>
      <c r="E1176">
        <f t="shared" si="40"/>
        <v>5.7063966866083726E-2</v>
      </c>
      <c r="F1176">
        <f t="shared" si="39"/>
        <v>4.3204179364388334E-2</v>
      </c>
    </row>
    <row r="1177" spans="1:6" x14ac:dyDescent="0.35">
      <c r="A1177" s="16">
        <v>45044</v>
      </c>
      <c r="B1177" t="s">
        <v>11</v>
      </c>
      <c r="C1177" s="3">
        <v>11.78</v>
      </c>
      <c r="D1177" s="8">
        <f>LOOKUP(EOMONTH(A1177,0),Target_Prices!A$2:A$38,Target_Prices!L$2:L$38)</f>
        <v>11.981199999999999</v>
      </c>
      <c r="E1177">
        <f t="shared" si="40"/>
        <v>2.5685676969960713E-2</v>
      </c>
      <c r="F1177">
        <f t="shared" si="39"/>
        <v>1.7079796264855691E-2</v>
      </c>
    </row>
    <row r="1178" spans="1:6" x14ac:dyDescent="0.35">
      <c r="A1178" s="15">
        <v>45077</v>
      </c>
      <c r="B1178" t="s">
        <v>11</v>
      </c>
      <c r="C1178" s="4">
        <v>11.4</v>
      </c>
      <c r="D1178" s="8">
        <f>LOOKUP(EOMONTH(A1178,0),Target_Prices!A$2:A$38,Target_Prices!L$2:L$38)</f>
        <v>11.981199999999999</v>
      </c>
      <c r="E1178">
        <f t="shared" si="40"/>
        <v>-3.2258064516129004E-2</v>
      </c>
      <c r="F1178">
        <f t="shared" si="39"/>
        <v>5.0982456140350789E-2</v>
      </c>
    </row>
    <row r="1179" spans="1:6" x14ac:dyDescent="0.35">
      <c r="A1179" s="16">
        <v>45107</v>
      </c>
      <c r="B1179" t="s">
        <v>11</v>
      </c>
      <c r="C1179" s="3">
        <v>11.95</v>
      </c>
      <c r="D1179" s="8">
        <f>LOOKUP(EOMONTH(A1179,0),Target_Prices!A$2:A$38,Target_Prices!L$2:L$38)</f>
        <v>12.3424</v>
      </c>
      <c r="E1179">
        <f t="shared" si="40"/>
        <v>4.8245614035087536E-2</v>
      </c>
      <c r="F1179">
        <f t="shared" si="39"/>
        <v>3.2836820083682036E-2</v>
      </c>
    </row>
    <row r="1180" spans="1:6" x14ac:dyDescent="0.35">
      <c r="A1180" s="15">
        <v>45138</v>
      </c>
      <c r="B1180" t="s">
        <v>11</v>
      </c>
      <c r="C1180" s="4">
        <v>11.355</v>
      </c>
      <c r="D1180" s="8">
        <f>LOOKUP(EOMONTH(A1180,0),Target_Prices!A$2:A$38,Target_Prices!L$2:L$38)</f>
        <v>12.3424</v>
      </c>
      <c r="E1180">
        <f t="shared" si="40"/>
        <v>-4.9790794979079456E-2</v>
      </c>
      <c r="F1180">
        <f t="shared" si="39"/>
        <v>8.6957287538529202E-2</v>
      </c>
    </row>
    <row r="1181" spans="1:6" x14ac:dyDescent="0.35">
      <c r="A1181" s="16">
        <v>45169</v>
      </c>
      <c r="B1181" t="s">
        <v>11</v>
      </c>
      <c r="C1181" s="3">
        <v>10.96</v>
      </c>
      <c r="D1181" s="8">
        <f>LOOKUP(EOMONTH(A1181,0),Target_Prices!A$2:A$38,Target_Prices!L$2:L$38)</f>
        <v>12.3424</v>
      </c>
      <c r="E1181">
        <f t="shared" si="40"/>
        <v>-3.4786437692646333E-2</v>
      </c>
      <c r="F1181">
        <f t="shared" si="39"/>
        <v>0.12613138686131375</v>
      </c>
    </row>
    <row r="1182" spans="1:6" x14ac:dyDescent="0.35">
      <c r="A1182" s="15">
        <v>45198</v>
      </c>
      <c r="B1182" t="s">
        <v>11</v>
      </c>
      <c r="C1182" s="4">
        <v>10.595000000000001</v>
      </c>
      <c r="D1182" s="8">
        <f>LOOKUP(EOMONTH(A1182,0),Target_Prices!A$2:A$38,Target_Prices!L$2:L$38)</f>
        <v>12.5387</v>
      </c>
      <c r="E1182">
        <f t="shared" si="40"/>
        <v>-3.3302919708029233E-2</v>
      </c>
      <c r="F1182">
        <f t="shared" si="39"/>
        <v>0.18345445965077864</v>
      </c>
    </row>
    <row r="1183" spans="1:6" x14ac:dyDescent="0.35">
      <c r="A1183" s="16">
        <v>45230</v>
      </c>
      <c r="B1183" t="s">
        <v>11</v>
      </c>
      <c r="C1183" s="3">
        <v>10.5</v>
      </c>
      <c r="D1183" s="8">
        <f>LOOKUP(EOMONTH(A1183,0),Target_Prices!A$2:A$38,Target_Prices!L$2:L$38)</f>
        <v>12.5387</v>
      </c>
      <c r="E1183">
        <f t="shared" si="40"/>
        <v>-8.9664936290704267E-3</v>
      </c>
      <c r="F1183">
        <f t="shared" si="39"/>
        <v>0.19416190476190481</v>
      </c>
    </row>
    <row r="1184" spans="1:6" x14ac:dyDescent="0.35">
      <c r="A1184" s="15">
        <v>45260</v>
      </c>
      <c r="B1184" t="s">
        <v>11</v>
      </c>
      <c r="C1184" s="4">
        <v>11.345000000000001</v>
      </c>
      <c r="D1184" s="8">
        <f>LOOKUP(EOMONTH(A1184,0),Target_Prices!A$2:A$38,Target_Prices!L$2:L$38)</f>
        <v>12.5387</v>
      </c>
      <c r="E1184">
        <f t="shared" si="40"/>
        <v>8.047619047619059E-2</v>
      </c>
      <c r="F1184">
        <f t="shared" si="39"/>
        <v>0.10521815777875713</v>
      </c>
    </row>
    <row r="1185" spans="1:6" x14ac:dyDescent="0.35">
      <c r="A1185" s="16">
        <v>45289</v>
      </c>
      <c r="B1185" t="s">
        <v>11</v>
      </c>
      <c r="C1185" s="3">
        <v>11.87</v>
      </c>
      <c r="D1185" s="8">
        <f>LOOKUP(EOMONTH(A1185,0),Target_Prices!A$2:A$38,Target_Prices!L$2:L$38)</f>
        <v>12.47</v>
      </c>
      <c r="E1185">
        <f t="shared" si="40"/>
        <v>4.6275892463640167E-2</v>
      </c>
      <c r="F1185">
        <f t="shared" si="39"/>
        <v>5.0547598989048141E-2</v>
      </c>
    </row>
    <row r="1186" spans="1:6" x14ac:dyDescent="0.35">
      <c r="A1186" s="15">
        <v>45322</v>
      </c>
      <c r="B1186" t="s">
        <v>11</v>
      </c>
      <c r="C1186" s="4">
        <v>11.175000000000001</v>
      </c>
      <c r="D1186" s="8">
        <f>LOOKUP(EOMONTH(A1186,0),Target_Prices!A$2:A$38,Target_Prices!L$2:L$38)</f>
        <v>12.47</v>
      </c>
      <c r="E1186">
        <f t="shared" si="40"/>
        <v>-5.8550968828980476E-2</v>
      </c>
      <c r="F1186">
        <f t="shared" si="39"/>
        <v>0.11588366890380312</v>
      </c>
    </row>
    <row r="1187" spans="1:6" x14ac:dyDescent="0.35">
      <c r="A1187" s="16">
        <v>45351</v>
      </c>
      <c r="B1187" t="s">
        <v>11</v>
      </c>
      <c r="C1187" s="3">
        <v>10.62</v>
      </c>
      <c r="D1187" s="8">
        <f>LOOKUP(EOMONTH(A1187,0),Target_Prices!A$2:A$38,Target_Prices!L$2:L$38)</f>
        <v>12.47</v>
      </c>
      <c r="E1187">
        <f t="shared" si="40"/>
        <v>-4.9664429530201448E-2</v>
      </c>
      <c r="F1187">
        <f t="shared" si="39"/>
        <v>0.17419962335216588</v>
      </c>
    </row>
    <row r="1188" spans="1:6" x14ac:dyDescent="0.35">
      <c r="A1188" s="15">
        <v>45380</v>
      </c>
      <c r="B1188" t="s">
        <v>11</v>
      </c>
      <c r="C1188" s="4">
        <v>11.494999999999999</v>
      </c>
      <c r="D1188" s="8">
        <f>LOOKUP(EOMONTH(A1188,0),Target_Prices!A$2:A$38,Target_Prices!L$2:L$38)</f>
        <v>12.5778</v>
      </c>
      <c r="E1188">
        <f t="shared" si="40"/>
        <v>8.2391713747645978E-2</v>
      </c>
      <c r="F1188">
        <f t="shared" si="39"/>
        <v>9.4197477163984397E-2</v>
      </c>
    </row>
    <row r="1189" spans="1:6" x14ac:dyDescent="0.35">
      <c r="A1189" s="16">
        <v>45412</v>
      </c>
      <c r="B1189" t="s">
        <v>11</v>
      </c>
      <c r="C1189" s="3">
        <v>11.51</v>
      </c>
      <c r="D1189" s="8">
        <f>LOOKUP(EOMONTH(A1189,0),Target_Prices!A$2:A$38,Target_Prices!L$2:L$38)</f>
        <v>12.5778</v>
      </c>
      <c r="E1189">
        <f t="shared" si="40"/>
        <v>1.3049151805133441E-3</v>
      </c>
      <c r="F1189">
        <f t="shared" si="39"/>
        <v>9.2771503040834064E-2</v>
      </c>
    </row>
    <row r="1190" spans="1:6" x14ac:dyDescent="0.35">
      <c r="A1190" s="15">
        <v>45443</v>
      </c>
      <c r="B1190" t="s">
        <v>11</v>
      </c>
      <c r="C1190" s="4">
        <v>12.1</v>
      </c>
      <c r="D1190" s="8">
        <f>LOOKUP(EOMONTH(A1190,0),Target_Prices!A$2:A$38,Target_Prices!L$2:L$38)</f>
        <v>12.5778</v>
      </c>
      <c r="E1190">
        <f t="shared" si="40"/>
        <v>5.1259774109470024E-2</v>
      </c>
      <c r="F1190">
        <f t="shared" si="39"/>
        <v>3.9487603305785143E-2</v>
      </c>
    </row>
    <row r="1191" spans="1:6" x14ac:dyDescent="0.35">
      <c r="A1191" s="16">
        <v>45471</v>
      </c>
      <c r="B1191" t="s">
        <v>11</v>
      </c>
      <c r="C1191" s="3">
        <v>12.115</v>
      </c>
      <c r="D1191" s="8">
        <f>LOOKUP(EOMONTH(A1191,0),Target_Prices!A$2:A$38,Target_Prices!L$2:L$38)</f>
        <v>12.9701</v>
      </c>
      <c r="E1191">
        <f t="shared" si="40"/>
        <v>1.2396694214875659E-3</v>
      </c>
      <c r="F1191">
        <f t="shared" si="39"/>
        <v>7.0581923235658289E-2</v>
      </c>
    </row>
    <row r="1192" spans="1:6" x14ac:dyDescent="0.35">
      <c r="A1192" s="15">
        <v>45504</v>
      </c>
      <c r="B1192" t="s">
        <v>11</v>
      </c>
      <c r="C1192" s="4">
        <v>12.18</v>
      </c>
      <c r="D1192" s="8">
        <f>LOOKUP(EOMONTH(A1192,0),Target_Prices!A$2:A$38,Target_Prices!L$2:L$38)</f>
        <v>12.9701</v>
      </c>
      <c r="E1192">
        <f t="shared" si="40"/>
        <v>5.3652496904663671E-3</v>
      </c>
      <c r="F1192">
        <f t="shared" si="39"/>
        <v>6.4868637110016475E-2</v>
      </c>
    </row>
    <row r="1193" spans="1:6" x14ac:dyDescent="0.35">
      <c r="A1193" s="16">
        <v>45534</v>
      </c>
      <c r="B1193" t="s">
        <v>11</v>
      </c>
      <c r="C1193" s="3">
        <v>12.82</v>
      </c>
      <c r="D1193" s="8">
        <f>LOOKUP(EOMONTH(A1193,0),Target_Prices!A$2:A$38,Target_Prices!L$2:L$38)</f>
        <v>12.9701</v>
      </c>
      <c r="E1193">
        <f t="shared" si="40"/>
        <v>5.2545155993432013E-2</v>
      </c>
      <c r="F1193">
        <f t="shared" si="39"/>
        <v>1.1708268330733239E-2</v>
      </c>
    </row>
    <row r="1194" spans="1:6" x14ac:dyDescent="0.35">
      <c r="A1194" s="15">
        <v>45565</v>
      </c>
      <c r="B1194" t="s">
        <v>11</v>
      </c>
      <c r="C1194" s="4">
        <v>13.89</v>
      </c>
      <c r="D1194" s="8">
        <f>LOOKUP(EOMONTH(A1194,0),Target_Prices!A$2:A$38,Target_Prices!L$2:L$38)</f>
        <v>13.7105</v>
      </c>
      <c r="E1194">
        <f t="shared" si="40"/>
        <v>8.3463338533541265E-2</v>
      </c>
      <c r="F1194">
        <f t="shared" si="39"/>
        <v>-1.2922966162707047E-2</v>
      </c>
    </row>
    <row r="1195" spans="1:6" x14ac:dyDescent="0.35">
      <c r="A1195" s="16">
        <v>45596</v>
      </c>
      <c r="B1195" t="s">
        <v>11</v>
      </c>
      <c r="C1195" s="3">
        <v>13.645</v>
      </c>
      <c r="D1195" s="8">
        <f>LOOKUP(EOMONTH(A1195,0),Target_Prices!A$2:A$38,Target_Prices!L$2:L$38)</f>
        <v>13.7105</v>
      </c>
      <c r="E1195">
        <f t="shared" si="40"/>
        <v>-1.7638588912887054E-2</v>
      </c>
      <c r="F1195">
        <f t="shared" si="39"/>
        <v>4.8002931476731486E-3</v>
      </c>
    </row>
    <row r="1196" spans="1:6" x14ac:dyDescent="0.35">
      <c r="A1196" s="15">
        <v>45625</v>
      </c>
      <c r="B1196" t="s">
        <v>11</v>
      </c>
      <c r="C1196" s="4">
        <v>13.49</v>
      </c>
      <c r="D1196" s="8">
        <f>LOOKUP(EOMONTH(A1196,0),Target_Prices!A$2:A$38,Target_Prices!L$2:L$38)</f>
        <v>13.7105</v>
      </c>
      <c r="E1196">
        <f t="shared" si="40"/>
        <v>-1.1359472334188325E-2</v>
      </c>
      <c r="F1196">
        <f t="shared" si="39"/>
        <v>1.6345441067457337E-2</v>
      </c>
    </row>
    <row r="1197" spans="1:6" x14ac:dyDescent="0.35">
      <c r="A1197" s="16">
        <v>45657</v>
      </c>
      <c r="B1197" t="s">
        <v>11</v>
      </c>
      <c r="C1197" s="3">
        <v>13.3</v>
      </c>
      <c r="D1197" s="8">
        <f>LOOKUP(EOMONTH(A1197,0),Target_Prices!A$2:A$38,Target_Prices!L$2:L$38)</f>
        <v>14.3071</v>
      </c>
      <c r="E1197">
        <f t="shared" si="40"/>
        <v>-1.4084507042253502E-2</v>
      </c>
      <c r="F1197">
        <f t="shared" si="39"/>
        <v>7.5721804511278148E-2</v>
      </c>
    </row>
    <row r="1198" spans="1:6" x14ac:dyDescent="0.35">
      <c r="A1198" s="15">
        <v>45688</v>
      </c>
      <c r="B1198" t="s">
        <v>11</v>
      </c>
      <c r="C1198" s="4">
        <v>13.64</v>
      </c>
      <c r="D1198" s="8">
        <f>LOOKUP(EOMONTH(A1198,0),Target_Prices!A$2:A$38,Target_Prices!L$2:L$38)</f>
        <v>14.3071</v>
      </c>
      <c r="E1198">
        <f t="shared" si="40"/>
        <v>2.5563909774436011E-2</v>
      </c>
      <c r="F1198">
        <f t="shared" si="39"/>
        <v>4.8907624633431054E-2</v>
      </c>
    </row>
    <row r="1199" spans="1:6" x14ac:dyDescent="0.35">
      <c r="A1199" s="16">
        <v>45716</v>
      </c>
      <c r="B1199" t="s">
        <v>11</v>
      </c>
      <c r="C1199" s="3">
        <v>13.95</v>
      </c>
      <c r="D1199" s="8">
        <f>LOOKUP(EOMONTH(A1199,0),Target_Prices!A$2:A$38,Target_Prices!L$2:L$38)</f>
        <v>14.3071</v>
      </c>
      <c r="E1199">
        <f t="shared" si="40"/>
        <v>2.2727272727272707E-2</v>
      </c>
      <c r="F1199">
        <f t="shared" si="39"/>
        <v>2.5598566308243791E-2</v>
      </c>
    </row>
    <row r="1200" spans="1:6" x14ac:dyDescent="0.35">
      <c r="A1200" s="15">
        <v>45747</v>
      </c>
      <c r="B1200" t="s">
        <v>11</v>
      </c>
      <c r="C1200" s="4">
        <v>14.94</v>
      </c>
      <c r="D1200" s="8">
        <f>LOOKUP(EOMONTH(A1200,0),Target_Prices!A$2:A$38,Target_Prices!L$2:L$38)</f>
        <v>14.5891</v>
      </c>
      <c r="E1200">
        <f t="shared" si="40"/>
        <v>7.0967741935483941E-2</v>
      </c>
      <c r="F1200">
        <f t="shared" si="39"/>
        <v>-2.3487282463186033E-2</v>
      </c>
    </row>
    <row r="1201" spans="1:6" x14ac:dyDescent="0.35">
      <c r="A1201" s="16">
        <v>45777</v>
      </c>
      <c r="B1201" t="s">
        <v>11</v>
      </c>
      <c r="C1201" s="3">
        <v>15.895</v>
      </c>
      <c r="D1201" s="8">
        <f>LOOKUP(EOMONTH(A1201,0),Target_Prices!A$2:A$38,Target_Prices!L$2:L$38)</f>
        <v>14.5891</v>
      </c>
      <c r="E1201">
        <f t="shared" si="40"/>
        <v>6.3922356091030696E-2</v>
      </c>
      <c r="F1201">
        <f t="shared" si="39"/>
        <v>-8.2157911292859348E-2</v>
      </c>
    </row>
    <row r="1202" spans="1:6" x14ac:dyDescent="0.35">
      <c r="A1202" s="15">
        <v>45807</v>
      </c>
      <c r="B1202" t="s">
        <v>11</v>
      </c>
      <c r="C1202" s="4">
        <v>16.079999999999998</v>
      </c>
      <c r="D1202" s="8">
        <f>LOOKUP(EOMONTH(A1202,0),Target_Prices!A$2:A$38,Target_Prices!L$2:L$38)</f>
        <v>14.5891</v>
      </c>
      <c r="E1202">
        <f t="shared" si="40"/>
        <v>1.1638880150990794E-2</v>
      </c>
      <c r="F1202">
        <f t="shared" si="39"/>
        <v>-9.2717661691542178E-2</v>
      </c>
    </row>
    <row r="1203" spans="1:6" x14ac:dyDescent="0.35">
      <c r="A1203" s="16">
        <v>45838</v>
      </c>
      <c r="B1203" t="s">
        <v>11</v>
      </c>
      <c r="C1203" s="3">
        <v>16.29</v>
      </c>
      <c r="D1203" s="8">
        <f>LOOKUP(EOMONTH(A1203,0),Target_Prices!A$2:A$38,Target_Prices!L$2:L$38)</f>
        <v>15.8352</v>
      </c>
      <c r="E1203">
        <f t="shared" si="40"/>
        <v>1.3059701492537323E-2</v>
      </c>
      <c r="F1203">
        <f t="shared" si="39"/>
        <v>-2.7918968692449281E-2</v>
      </c>
    </row>
    <row r="1204" spans="1:6" x14ac:dyDescent="0.35">
      <c r="A1204" s="15">
        <v>45869</v>
      </c>
      <c r="B1204" t="s">
        <v>11</v>
      </c>
      <c r="C1204" s="4">
        <v>15.355</v>
      </c>
      <c r="D1204" s="8">
        <f>LOOKUP(EOMONTH(A1204,0),Target_Prices!A$2:A$38,Target_Prices!L$2:L$38)</f>
        <v>15.8352</v>
      </c>
      <c r="E1204">
        <f t="shared" si="40"/>
        <v>-5.7397176181706477E-2</v>
      </c>
      <c r="F1204">
        <f t="shared" si="39"/>
        <v>3.1273200911755124E-2</v>
      </c>
    </row>
    <row r="1205" spans="1:6" x14ac:dyDescent="0.35">
      <c r="A1205" s="16">
        <v>45898</v>
      </c>
      <c r="B1205" t="s">
        <v>11</v>
      </c>
      <c r="C1205" s="3">
        <v>16.074999999999999</v>
      </c>
      <c r="D1205" s="8">
        <f>LOOKUP(EOMONTH(A1205,0),Target_Prices!A$2:A$38,Target_Prices!L$2:L$38)</f>
        <v>15.8352</v>
      </c>
      <c r="E1205">
        <f t="shared" si="40"/>
        <v>4.689026375773353E-2</v>
      </c>
      <c r="F1205">
        <f t="shared" si="39"/>
        <v>-1.4917573872472716E-2</v>
      </c>
    </row>
    <row r="1206" spans="1:6" x14ac:dyDescent="0.35">
      <c r="A1206" s="15">
        <v>45930</v>
      </c>
      <c r="B1206" t="s">
        <v>11</v>
      </c>
      <c r="C1206" s="4">
        <v>16.105</v>
      </c>
      <c r="D1206" s="8">
        <f>LOOKUP(EOMONTH(A1206,0),Target_Prices!A$2:A$38,Target_Prices!L$2:L$38)</f>
        <v>16.776800000000001</v>
      </c>
      <c r="E1206">
        <f t="shared" si="40"/>
        <v>1.8662519440124647E-3</v>
      </c>
      <c r="F1206">
        <f t="shared" si="39"/>
        <v>4.1713753492704196E-2</v>
      </c>
    </row>
    <row r="1207" spans="1:6" x14ac:dyDescent="0.35">
      <c r="A1207" s="16">
        <v>45961</v>
      </c>
      <c r="B1207" t="s">
        <v>11</v>
      </c>
      <c r="C1207" s="3">
        <v>17.565000000000001</v>
      </c>
      <c r="D1207" s="8">
        <f>LOOKUP(EOMONTH(A1207,0),Target_Prices!A$2:A$38,Target_Prices!L$2:L$38)</f>
        <v>16.776800000000001</v>
      </c>
      <c r="E1207">
        <f t="shared" si="40"/>
        <v>9.065507606333445E-2</v>
      </c>
      <c r="F1207">
        <f t="shared" si="39"/>
        <v>-4.4873327640193549E-2</v>
      </c>
    </row>
    <row r="1208" spans="1:6" x14ac:dyDescent="0.35">
      <c r="A1208" s="15">
        <v>45989</v>
      </c>
      <c r="B1208" t="s">
        <v>11</v>
      </c>
      <c r="C1208" s="4">
        <v>18.184999999999999</v>
      </c>
      <c r="D1208" s="8">
        <f>LOOKUP(EOMONTH(A1208,0),Target_Prices!A$2:A$38,Target_Prices!L$2:L$38)</f>
        <v>16.776800000000001</v>
      </c>
      <c r="E1208">
        <f t="shared" si="40"/>
        <v>3.5297466552803636E-2</v>
      </c>
      <c r="F1208">
        <f t="shared" si="39"/>
        <v>-7.7437448446521714E-2</v>
      </c>
    </row>
    <row r="1209" spans="1:6" x14ac:dyDescent="0.35">
      <c r="A1209" s="16">
        <v>46022</v>
      </c>
      <c r="B1209" t="s">
        <v>11</v>
      </c>
      <c r="C1209" s="3">
        <v>18.465</v>
      </c>
      <c r="D1209" s="8">
        <f>LOOKUP(EOMONTH(A1209,0),Target_Prices!A$2:A$38,Target_Prices!L$2:L$38)</f>
        <v>17.904800000000002</v>
      </c>
      <c r="E1209">
        <f t="shared" si="40"/>
        <v>1.5397305471542611E-2</v>
      </c>
      <c r="F1209">
        <f t="shared" si="39"/>
        <v>-3.0338478202003697E-2</v>
      </c>
    </row>
    <row r="1210" spans="1:6" x14ac:dyDescent="0.35">
      <c r="A1210" s="15">
        <v>46052</v>
      </c>
      <c r="B1210" t="s">
        <v>11</v>
      </c>
      <c r="C1210" s="4">
        <v>18.925000000000001</v>
      </c>
      <c r="D1210" s="8">
        <f>LOOKUP(EOMONTH(A1210,0),Target_Prices!A$2:A$38,Target_Prices!L$2:L$38)</f>
        <v>17.904800000000002</v>
      </c>
      <c r="E1210">
        <f t="shared" si="40"/>
        <v>2.4911995667479037E-2</v>
      </c>
      <c r="F1210">
        <f t="shared" si="39"/>
        <v>-5.3907529722589116E-2</v>
      </c>
    </row>
    <row r="1211" spans="1:6" s="11" customFormat="1" x14ac:dyDescent="0.35">
      <c r="A1211" s="15">
        <v>46080</v>
      </c>
      <c r="B1211" s="11" t="s">
        <v>11</v>
      </c>
      <c r="C1211" s="12">
        <v>20.05</v>
      </c>
      <c r="D1211" s="14">
        <f>LOOKUP(EOMONTH(A1211,0),Target_Prices!A$2:A$38,Target_Prices!L$2:L$38)</f>
        <v>17.904800000000002</v>
      </c>
      <c r="E1211">
        <f t="shared" si="40"/>
        <v>5.9445178335534976E-2</v>
      </c>
      <c r="F1211">
        <f t="shared" si="39"/>
        <v>-0.10699251870324185</v>
      </c>
    </row>
    <row r="1212" spans="1:6" x14ac:dyDescent="0.35">
      <c r="A1212" s="15">
        <v>42766</v>
      </c>
      <c r="B1212" t="s">
        <v>12</v>
      </c>
      <c r="C1212" s="4">
        <v>3.8639999999999999</v>
      </c>
      <c r="D1212" s="8">
        <f>LOOKUP(EOMONTH(A1212,0),Target_Prices!A$2:A$38,Target_Prices!M$2:M$38)</f>
        <v>4.65977</v>
      </c>
      <c r="F1212">
        <f t="shared" si="39"/>
        <v>0.20594461697722571</v>
      </c>
    </row>
    <row r="1213" spans="1:6" x14ac:dyDescent="0.35">
      <c r="A1213" s="16">
        <v>42794</v>
      </c>
      <c r="B1213" t="s">
        <v>12</v>
      </c>
      <c r="C1213" s="3">
        <v>4.0519999999999996</v>
      </c>
      <c r="D1213" s="8">
        <f>LOOKUP(EOMONTH(A1213,0),Target_Prices!A$2:A$38,Target_Prices!M$2:M$38)</f>
        <v>4.65977</v>
      </c>
      <c r="E1213">
        <f>(C1213/C1212)-1</f>
        <v>4.8654244306418182E-2</v>
      </c>
      <c r="F1213">
        <f t="shared" si="39"/>
        <v>0.14999259624876615</v>
      </c>
    </row>
    <row r="1214" spans="1:6" x14ac:dyDescent="0.35">
      <c r="A1214" s="15">
        <v>42825</v>
      </c>
      <c r="B1214" t="s">
        <v>12</v>
      </c>
      <c r="C1214" s="4">
        <v>4.4139999999999997</v>
      </c>
      <c r="D1214" s="8">
        <f>LOOKUP(EOMONTH(A1214,0),Target_Prices!A$2:A$38,Target_Prices!M$2:M$38)</f>
        <v>4.6695799999999998</v>
      </c>
      <c r="E1214">
        <f t="shared" ref="E1214:E1277" si="41">(C1214/C1213)-1</f>
        <v>8.9338598223099641E-2</v>
      </c>
      <c r="F1214">
        <f t="shared" si="39"/>
        <v>5.7902129587675613E-2</v>
      </c>
    </row>
    <row r="1215" spans="1:6" x14ac:dyDescent="0.35">
      <c r="A1215" s="16">
        <v>42853</v>
      </c>
      <c r="B1215" t="s">
        <v>12</v>
      </c>
      <c r="C1215" s="3">
        <v>4.3639999999999999</v>
      </c>
      <c r="D1215" s="8">
        <f>LOOKUP(EOMONTH(A1215,0),Target_Prices!A$2:A$38,Target_Prices!M$2:M$38)</f>
        <v>4.6695799999999998</v>
      </c>
      <c r="E1215">
        <f t="shared" si="41"/>
        <v>-1.1327594019030274E-2</v>
      </c>
      <c r="F1215">
        <f t="shared" si="39"/>
        <v>7.0022914757103566E-2</v>
      </c>
    </row>
    <row r="1216" spans="1:6" x14ac:dyDescent="0.35">
      <c r="A1216" s="15">
        <v>42886</v>
      </c>
      <c r="B1216" t="s">
        <v>12</v>
      </c>
      <c r="C1216" s="4">
        <v>4.758</v>
      </c>
      <c r="D1216" s="8">
        <f>LOOKUP(EOMONTH(A1216,0),Target_Prices!A$2:A$38,Target_Prices!M$2:M$38)</f>
        <v>4.6695799999999998</v>
      </c>
      <c r="E1216">
        <f t="shared" si="41"/>
        <v>9.0284142988084293E-2</v>
      </c>
      <c r="F1216">
        <f t="shared" si="39"/>
        <v>-1.8583438419504029E-2</v>
      </c>
    </row>
    <row r="1217" spans="1:6" x14ac:dyDescent="0.35">
      <c r="A1217" s="16">
        <v>42916</v>
      </c>
      <c r="B1217" t="s">
        <v>12</v>
      </c>
      <c r="C1217" s="3">
        <v>4.6940001999999996</v>
      </c>
      <c r="D1217" s="8">
        <f>LOOKUP(EOMONTH(A1217,0),Target_Prices!A$2:A$38,Target_Prices!M$2:M$38)</f>
        <v>5.0125000000000002</v>
      </c>
      <c r="E1217">
        <f t="shared" si="41"/>
        <v>-1.3450987810004311E-2</v>
      </c>
      <c r="F1217">
        <f t="shared" si="39"/>
        <v>6.7852532260224571E-2</v>
      </c>
    </row>
    <row r="1218" spans="1:6" x14ac:dyDescent="0.35">
      <c r="A1218" s="15">
        <v>42947</v>
      </c>
      <c r="B1218" t="s">
        <v>12</v>
      </c>
      <c r="C1218" s="4">
        <v>4.8239999999999998</v>
      </c>
      <c r="D1218" s="8">
        <f>LOOKUP(EOMONTH(A1218,0),Target_Prices!A$2:A$38,Target_Prices!M$2:M$38)</f>
        <v>5.0125000000000002</v>
      </c>
      <c r="E1218">
        <f t="shared" si="41"/>
        <v>2.7694885909889777E-2</v>
      </c>
      <c r="F1218">
        <f t="shared" si="39"/>
        <v>3.9075456053068065E-2</v>
      </c>
    </row>
    <row r="1219" spans="1:6" x14ac:dyDescent="0.35">
      <c r="A1219" s="16">
        <v>42978</v>
      </c>
      <c r="B1219" t="s">
        <v>12</v>
      </c>
      <c r="C1219" s="3">
        <v>5.085</v>
      </c>
      <c r="D1219" s="8">
        <f>LOOKUP(EOMONTH(A1219,0),Target_Prices!A$2:A$38,Target_Prices!M$2:M$38)</f>
        <v>5.0125000000000002</v>
      </c>
      <c r="E1219">
        <f t="shared" si="41"/>
        <v>5.4104477611940371E-2</v>
      </c>
      <c r="F1219">
        <f t="shared" ref="F1219:F1282" si="42">(D1219-C1219)/C1219</f>
        <v>-1.4257620452310675E-2</v>
      </c>
    </row>
    <row r="1220" spans="1:6" x14ac:dyDescent="0.35">
      <c r="A1220" s="15">
        <v>43007</v>
      </c>
      <c r="B1220" t="s">
        <v>12</v>
      </c>
      <c r="C1220" s="4">
        <v>5.0949999999999998</v>
      </c>
      <c r="D1220" s="8">
        <f>LOOKUP(EOMONTH(A1220,0),Target_Prices!A$2:A$38,Target_Prices!M$2:M$38)</f>
        <v>5.3003999999999998</v>
      </c>
      <c r="E1220">
        <f t="shared" si="41"/>
        <v>1.9665683382497079E-3</v>
      </c>
      <c r="F1220">
        <f t="shared" si="42"/>
        <v>4.0314033366045152E-2</v>
      </c>
    </row>
    <row r="1221" spans="1:6" x14ac:dyDescent="0.35">
      <c r="A1221" s="16">
        <v>43039</v>
      </c>
      <c r="B1221" t="s">
        <v>12</v>
      </c>
      <c r="C1221" s="3">
        <v>5.3250000000000002</v>
      </c>
      <c r="D1221" s="8">
        <f>LOOKUP(EOMONTH(A1221,0),Target_Prices!A$2:A$38,Target_Prices!M$2:M$38)</f>
        <v>5.3003999999999998</v>
      </c>
      <c r="E1221">
        <f t="shared" si="41"/>
        <v>4.5142296368989365E-2</v>
      </c>
      <c r="F1221">
        <f t="shared" si="42"/>
        <v>-4.6197183098592295E-3</v>
      </c>
    </row>
    <row r="1222" spans="1:6" x14ac:dyDescent="0.35">
      <c r="A1222" s="15">
        <v>43069</v>
      </c>
      <c r="B1222" t="s">
        <v>12</v>
      </c>
      <c r="C1222" s="4">
        <v>5.4550000000000001</v>
      </c>
      <c r="D1222" s="8">
        <f>LOOKUP(EOMONTH(A1222,0),Target_Prices!A$2:A$38,Target_Prices!M$2:M$38)</f>
        <v>5.3003999999999998</v>
      </c>
      <c r="E1222">
        <f t="shared" si="41"/>
        <v>2.4413145539906145E-2</v>
      </c>
      <c r="F1222">
        <f t="shared" si="42"/>
        <v>-2.8340971585701244E-2</v>
      </c>
    </row>
    <row r="1223" spans="1:6" x14ac:dyDescent="0.35">
      <c r="A1223" s="16">
        <v>43098</v>
      </c>
      <c r="B1223" t="s">
        <v>12</v>
      </c>
      <c r="C1223" s="3">
        <v>5.13</v>
      </c>
      <c r="D1223" s="8">
        <f>LOOKUP(EOMONTH(A1223,0),Target_Prices!A$2:A$38,Target_Prices!M$2:M$38)</f>
        <v>5.7948000000000004</v>
      </c>
      <c r="E1223">
        <f t="shared" si="41"/>
        <v>-5.9578368469294207E-2</v>
      </c>
      <c r="F1223">
        <f t="shared" si="42"/>
        <v>0.1295906432748539</v>
      </c>
    </row>
    <row r="1224" spans="1:6" x14ac:dyDescent="0.35">
      <c r="A1224" s="15">
        <v>43131</v>
      </c>
      <c r="B1224" t="s">
        <v>12</v>
      </c>
      <c r="C1224" s="4">
        <v>5.1100000000000003</v>
      </c>
      <c r="D1224" s="8">
        <f>LOOKUP(EOMONTH(A1224,0),Target_Prices!A$2:A$38,Target_Prices!M$2:M$38)</f>
        <v>5.7948000000000004</v>
      </c>
      <c r="E1224">
        <f t="shared" si="41"/>
        <v>-3.8986354775827348E-3</v>
      </c>
      <c r="F1224">
        <f t="shared" si="42"/>
        <v>0.13401174168297456</v>
      </c>
    </row>
    <row r="1225" spans="1:6" x14ac:dyDescent="0.35">
      <c r="A1225" s="16">
        <v>43159</v>
      </c>
      <c r="B1225" t="s">
        <v>12</v>
      </c>
      <c r="C1225" s="3">
        <v>4.7789999999999999</v>
      </c>
      <c r="D1225" s="8">
        <f>LOOKUP(EOMONTH(A1225,0),Target_Prices!A$2:A$38,Target_Prices!M$2:M$38)</f>
        <v>5.7948000000000004</v>
      </c>
      <c r="E1225">
        <f t="shared" si="41"/>
        <v>-6.477495107632103E-2</v>
      </c>
      <c r="F1225">
        <f t="shared" si="42"/>
        <v>0.21255492780916521</v>
      </c>
    </row>
    <row r="1226" spans="1:6" x14ac:dyDescent="0.35">
      <c r="A1226" s="15">
        <v>43189</v>
      </c>
      <c r="B1226" t="s">
        <v>12</v>
      </c>
      <c r="C1226" s="4">
        <v>4.9700002999999997</v>
      </c>
      <c r="D1226" s="8">
        <f>LOOKUP(EOMONTH(A1226,0),Target_Prices!A$2:A$38,Target_Prices!M$2:M$38)</f>
        <v>5.7716000000000003</v>
      </c>
      <c r="E1226">
        <f t="shared" si="41"/>
        <v>3.9966582967147835E-2</v>
      </c>
      <c r="F1226">
        <f t="shared" si="42"/>
        <v>0.16128765626030256</v>
      </c>
    </row>
    <row r="1227" spans="1:6" x14ac:dyDescent="0.35">
      <c r="A1227" s="16">
        <v>43220</v>
      </c>
      <c r="B1227" t="s">
        <v>12</v>
      </c>
      <c r="C1227" s="3">
        <v>5.2679999999999998</v>
      </c>
      <c r="D1227" s="8">
        <f>LOOKUP(EOMONTH(A1227,0),Target_Prices!A$2:A$38,Target_Prices!M$2:M$38)</f>
        <v>5.7716000000000003</v>
      </c>
      <c r="E1227">
        <f t="shared" si="41"/>
        <v>5.9959694569837296E-2</v>
      </c>
      <c r="F1227">
        <f t="shared" si="42"/>
        <v>9.5596051632498194E-2</v>
      </c>
    </row>
    <row r="1228" spans="1:6" x14ac:dyDescent="0.35">
      <c r="A1228" s="15">
        <v>43251</v>
      </c>
      <c r="B1228" t="s">
        <v>12</v>
      </c>
      <c r="C1228" s="4">
        <v>4.7030000000000003</v>
      </c>
      <c r="D1228" s="8">
        <f>LOOKUP(EOMONTH(A1228,0),Target_Prices!A$2:A$38,Target_Prices!M$2:M$38)</f>
        <v>5.7716000000000003</v>
      </c>
      <c r="E1228">
        <f t="shared" si="41"/>
        <v>-0.10725132877752463</v>
      </c>
      <c r="F1228">
        <f t="shared" si="42"/>
        <v>0.22721667021050393</v>
      </c>
    </row>
    <row r="1229" spans="1:6" x14ac:dyDescent="0.35">
      <c r="A1229" s="16">
        <v>43280</v>
      </c>
      <c r="B1229" t="s">
        <v>12</v>
      </c>
      <c r="C1229" s="3">
        <v>4.7569999999999997</v>
      </c>
      <c r="D1229" s="8">
        <f>LOOKUP(EOMONTH(A1229,0),Target_Prices!A$2:A$38,Target_Prices!M$2:M$38)</f>
        <v>5.65</v>
      </c>
      <c r="E1229">
        <f t="shared" si="41"/>
        <v>1.1482032745056214E-2</v>
      </c>
      <c r="F1229">
        <f t="shared" si="42"/>
        <v>0.18772335505570753</v>
      </c>
    </row>
    <row r="1230" spans="1:6" x14ac:dyDescent="0.35">
      <c r="A1230" s="15">
        <v>43312</v>
      </c>
      <c r="B1230" t="s">
        <v>12</v>
      </c>
      <c r="C1230" s="4">
        <v>4.7699999999999996</v>
      </c>
      <c r="D1230" s="8">
        <f>LOOKUP(EOMONTH(A1230,0),Target_Prices!A$2:A$38,Target_Prices!M$2:M$38)</f>
        <v>5.65</v>
      </c>
      <c r="E1230">
        <f t="shared" si="41"/>
        <v>2.732814799243144E-3</v>
      </c>
      <c r="F1230">
        <f t="shared" si="42"/>
        <v>0.18448637316561864</v>
      </c>
    </row>
    <row r="1231" spans="1:6" x14ac:dyDescent="0.35">
      <c r="A1231" s="16">
        <v>43343</v>
      </c>
      <c r="B1231" t="s">
        <v>12</v>
      </c>
      <c r="C1231" s="3">
        <v>4.26</v>
      </c>
      <c r="D1231" s="8">
        <f>LOOKUP(EOMONTH(A1231,0),Target_Prices!A$2:A$38,Target_Prices!M$2:M$38)</f>
        <v>5.65</v>
      </c>
      <c r="E1231">
        <f t="shared" si="41"/>
        <v>-0.10691823899371067</v>
      </c>
      <c r="F1231">
        <f t="shared" si="42"/>
        <v>0.32629107981220673</v>
      </c>
    </row>
    <row r="1232" spans="1:6" x14ac:dyDescent="0.35">
      <c r="A1232" s="15">
        <v>43371</v>
      </c>
      <c r="B1232" t="s">
        <v>12</v>
      </c>
      <c r="C1232" s="4">
        <v>4.4119999999999999</v>
      </c>
      <c r="D1232" s="8">
        <f>LOOKUP(EOMONTH(A1232,0),Target_Prices!A$2:A$38,Target_Prices!M$2:M$38)</f>
        <v>5.5216000000000003</v>
      </c>
      <c r="E1232">
        <f t="shared" si="41"/>
        <v>3.5680751173708947E-2</v>
      </c>
      <c r="F1232">
        <f t="shared" si="42"/>
        <v>0.25149592021758849</v>
      </c>
    </row>
    <row r="1233" spans="1:6" x14ac:dyDescent="0.35">
      <c r="A1233" s="16">
        <v>43404</v>
      </c>
      <c r="B1233" t="s">
        <v>12</v>
      </c>
      <c r="C1233" s="3">
        <v>4.3339999999999996</v>
      </c>
      <c r="D1233" s="8">
        <f>LOOKUP(EOMONTH(A1233,0),Target_Prices!A$2:A$38,Target_Prices!M$2:M$38)</f>
        <v>5.5216000000000003</v>
      </c>
      <c r="E1233">
        <f t="shared" si="41"/>
        <v>-1.7679057116953834E-2</v>
      </c>
      <c r="F1233">
        <f t="shared" si="42"/>
        <v>0.27401938163359502</v>
      </c>
    </row>
    <row r="1234" spans="1:6" x14ac:dyDescent="0.35">
      <c r="A1234" s="15">
        <v>43434</v>
      </c>
      <c r="B1234" t="s">
        <v>12</v>
      </c>
      <c r="C1234" s="4">
        <v>4.79</v>
      </c>
      <c r="D1234" s="8">
        <f>LOOKUP(EOMONTH(A1234,0),Target_Prices!A$2:A$38,Target_Prices!M$2:M$38)</f>
        <v>5.5216000000000003</v>
      </c>
      <c r="E1234">
        <f t="shared" si="41"/>
        <v>0.10521458237194281</v>
      </c>
      <c r="F1234">
        <f t="shared" si="42"/>
        <v>0.15273486430062636</v>
      </c>
    </row>
    <row r="1235" spans="1:6" x14ac:dyDescent="0.35">
      <c r="A1235" s="16">
        <v>43465</v>
      </c>
      <c r="B1235" t="s">
        <v>12</v>
      </c>
      <c r="C1235" s="3">
        <v>5.0439999999999996</v>
      </c>
      <c r="D1235" s="8">
        <f>LOOKUP(EOMONTH(A1235,0),Target_Prices!A$2:A$38,Target_Prices!M$2:M$38)</f>
        <v>5.5181800000000001</v>
      </c>
      <c r="E1235">
        <f t="shared" si="41"/>
        <v>5.3027139874738838E-2</v>
      </c>
      <c r="F1235">
        <f t="shared" si="42"/>
        <v>9.4008723235527461E-2</v>
      </c>
    </row>
    <row r="1236" spans="1:6" x14ac:dyDescent="0.35">
      <c r="A1236" s="15">
        <v>43496</v>
      </c>
      <c r="B1236" t="s">
        <v>12</v>
      </c>
      <c r="C1236" s="4">
        <v>5.266</v>
      </c>
      <c r="D1236" s="8">
        <f>LOOKUP(EOMONTH(A1236,0),Target_Prices!A$2:A$38,Target_Prices!M$2:M$38)</f>
        <v>5.5181800000000001</v>
      </c>
      <c r="E1236">
        <f t="shared" si="41"/>
        <v>4.4012688342585315E-2</v>
      </c>
      <c r="F1236">
        <f t="shared" si="42"/>
        <v>4.7888340296240041E-2</v>
      </c>
    </row>
    <row r="1237" spans="1:6" x14ac:dyDescent="0.35">
      <c r="A1237" s="16">
        <v>43524</v>
      </c>
      <c r="B1237" t="s">
        <v>12</v>
      </c>
      <c r="C1237" s="3">
        <v>5.32</v>
      </c>
      <c r="D1237" s="8">
        <f>LOOKUP(EOMONTH(A1237,0),Target_Prices!A$2:A$38,Target_Prices!M$2:M$38)</f>
        <v>5.5181800000000001</v>
      </c>
      <c r="E1237">
        <f t="shared" si="41"/>
        <v>1.0254462590201241E-2</v>
      </c>
      <c r="F1237">
        <f t="shared" si="42"/>
        <v>3.7251879699248078E-2</v>
      </c>
    </row>
    <row r="1238" spans="1:6" x14ac:dyDescent="0.35">
      <c r="A1238" s="15">
        <v>43553</v>
      </c>
      <c r="B1238" t="s">
        <v>12</v>
      </c>
      <c r="C1238" s="4">
        <v>5.7039999999999997</v>
      </c>
      <c r="D1238" s="8">
        <f>LOOKUP(EOMONTH(A1238,0),Target_Prices!A$2:A$38,Target_Prices!M$2:M$38)</f>
        <v>5.8505000000000003</v>
      </c>
      <c r="E1238">
        <f t="shared" si="41"/>
        <v>7.2180451127819456E-2</v>
      </c>
      <c r="F1238">
        <f t="shared" si="42"/>
        <v>2.5683730715287609E-2</v>
      </c>
    </row>
    <row r="1239" spans="1:6" x14ac:dyDescent="0.35">
      <c r="A1239" s="16">
        <v>43585</v>
      </c>
      <c r="B1239" t="s">
        <v>12</v>
      </c>
      <c r="C1239" s="3">
        <v>5.6390000000000002</v>
      </c>
      <c r="D1239" s="8">
        <f>LOOKUP(EOMONTH(A1239,0),Target_Prices!A$2:A$38,Target_Prices!M$2:M$38)</f>
        <v>5.8505000000000003</v>
      </c>
      <c r="E1239">
        <f t="shared" si="41"/>
        <v>-1.139551192145849E-2</v>
      </c>
      <c r="F1239">
        <f t="shared" si="42"/>
        <v>3.7506650115268665E-2</v>
      </c>
    </row>
    <row r="1240" spans="1:6" x14ac:dyDescent="0.35">
      <c r="A1240" s="15">
        <v>43616</v>
      </c>
      <c r="B1240" t="s">
        <v>12</v>
      </c>
      <c r="C1240" s="4">
        <v>5.57</v>
      </c>
      <c r="D1240" s="8">
        <f>LOOKUP(EOMONTH(A1240,0),Target_Prices!A$2:A$38,Target_Prices!M$2:M$38)</f>
        <v>5.8505000000000003</v>
      </c>
      <c r="E1240">
        <f t="shared" si="41"/>
        <v>-1.2236212094343002E-2</v>
      </c>
      <c r="F1240">
        <f t="shared" si="42"/>
        <v>5.0359066427289038E-2</v>
      </c>
    </row>
    <row r="1241" spans="1:6" x14ac:dyDescent="0.35">
      <c r="A1241" s="16">
        <v>43644</v>
      </c>
      <c r="B1241" t="s">
        <v>12</v>
      </c>
      <c r="C1241" s="3">
        <v>6.14</v>
      </c>
      <c r="D1241" s="8">
        <f>LOOKUP(EOMONTH(A1241,0),Target_Prices!A$2:A$38,Target_Prices!M$2:M$38)</f>
        <v>6.2294700000000001</v>
      </c>
      <c r="E1241">
        <f t="shared" si="41"/>
        <v>0.1023339317773786</v>
      </c>
      <c r="F1241">
        <f t="shared" si="42"/>
        <v>1.4571661237785079E-2</v>
      </c>
    </row>
    <row r="1242" spans="1:6" x14ac:dyDescent="0.35">
      <c r="A1242" s="15">
        <v>43677</v>
      </c>
      <c r="B1242" t="s">
        <v>12</v>
      </c>
      <c r="C1242" s="4">
        <v>6.1989999999999998</v>
      </c>
      <c r="D1242" s="8">
        <f>LOOKUP(EOMONTH(A1242,0),Target_Prices!A$2:A$38,Target_Prices!M$2:M$38)</f>
        <v>6.2294700000000001</v>
      </c>
      <c r="E1242">
        <f t="shared" si="41"/>
        <v>9.6091205211725761E-3</v>
      </c>
      <c r="F1242">
        <f t="shared" si="42"/>
        <v>4.9153089207937123E-3</v>
      </c>
    </row>
    <row r="1243" spans="1:6" x14ac:dyDescent="0.35">
      <c r="A1243" s="16">
        <v>43707</v>
      </c>
      <c r="B1243" t="s">
        <v>12</v>
      </c>
      <c r="C1243" s="3">
        <v>6.5940000000000003</v>
      </c>
      <c r="D1243" s="8">
        <f>LOOKUP(EOMONTH(A1243,0),Target_Prices!A$2:A$38,Target_Prices!M$2:M$38)</f>
        <v>6.2294700000000001</v>
      </c>
      <c r="E1243">
        <f t="shared" si="41"/>
        <v>6.3719954831424452E-2</v>
      </c>
      <c r="F1243">
        <f t="shared" si="42"/>
        <v>-5.528207461328484E-2</v>
      </c>
    </row>
    <row r="1244" spans="1:6" x14ac:dyDescent="0.35">
      <c r="A1244" s="15">
        <v>43738</v>
      </c>
      <c r="B1244" t="s">
        <v>12</v>
      </c>
      <c r="C1244" s="4">
        <v>6.851</v>
      </c>
      <c r="D1244" s="8">
        <f>LOOKUP(EOMONTH(A1244,0),Target_Prices!A$2:A$38,Target_Prices!M$2:M$38)</f>
        <v>6.83</v>
      </c>
      <c r="E1244">
        <f t="shared" si="41"/>
        <v>3.8974825599029428E-2</v>
      </c>
      <c r="F1244">
        <f t="shared" si="42"/>
        <v>-3.0652459494964106E-3</v>
      </c>
    </row>
    <row r="1245" spans="1:6" x14ac:dyDescent="0.35">
      <c r="A1245" s="16">
        <v>43769</v>
      </c>
      <c r="B1245" t="s">
        <v>12</v>
      </c>
      <c r="C1245" s="3">
        <v>6.94</v>
      </c>
      <c r="D1245" s="8">
        <f>LOOKUP(EOMONTH(A1245,0),Target_Prices!A$2:A$38,Target_Prices!M$2:M$38)</f>
        <v>6.83</v>
      </c>
      <c r="E1245">
        <f t="shared" si="41"/>
        <v>1.2990804262151601E-2</v>
      </c>
      <c r="F1245">
        <f t="shared" si="42"/>
        <v>-1.5850144092219066E-2</v>
      </c>
    </row>
    <row r="1246" spans="1:6" x14ac:dyDescent="0.35">
      <c r="A1246" s="15">
        <v>43798</v>
      </c>
      <c r="B1246" t="s">
        <v>12</v>
      </c>
      <c r="C1246" s="4">
        <v>6.8559999999999999</v>
      </c>
      <c r="D1246" s="8">
        <f>LOOKUP(EOMONTH(A1246,0),Target_Prices!A$2:A$38,Target_Prices!M$2:M$38)</f>
        <v>6.83</v>
      </c>
      <c r="E1246">
        <f t="shared" si="41"/>
        <v>-1.2103746397694626E-2</v>
      </c>
      <c r="F1246">
        <f t="shared" si="42"/>
        <v>-3.7922987164527131E-3</v>
      </c>
    </row>
    <row r="1247" spans="1:6" x14ac:dyDescent="0.35">
      <c r="A1247" s="16">
        <v>43830</v>
      </c>
      <c r="B1247" t="s">
        <v>12</v>
      </c>
      <c r="C1247" s="3">
        <v>7.0720000000000001</v>
      </c>
      <c r="D1247" s="8">
        <f>LOOKUP(EOMONTH(A1247,0),Target_Prices!A$2:A$38,Target_Prices!M$2:M$38)</f>
        <v>7.4286399999999997</v>
      </c>
      <c r="E1247">
        <f t="shared" si="41"/>
        <v>3.1505250875145885E-2</v>
      </c>
      <c r="F1247">
        <f t="shared" si="42"/>
        <v>5.042986425339361E-2</v>
      </c>
    </row>
    <row r="1248" spans="1:6" x14ac:dyDescent="0.35">
      <c r="A1248" s="15">
        <v>43861</v>
      </c>
      <c r="B1248" t="s">
        <v>12</v>
      </c>
      <c r="C1248" s="4">
        <v>7.8550000000000004</v>
      </c>
      <c r="D1248" s="8">
        <f>LOOKUP(EOMONTH(A1248,0),Target_Prices!A$2:A$38,Target_Prices!M$2:M$38)</f>
        <v>7.4286399999999997</v>
      </c>
      <c r="E1248">
        <f t="shared" si="41"/>
        <v>0.11071832579185514</v>
      </c>
      <c r="F1248">
        <f t="shared" si="42"/>
        <v>-5.4278803309993726E-2</v>
      </c>
    </row>
    <row r="1249" spans="1:6" x14ac:dyDescent="0.35">
      <c r="A1249" s="16">
        <v>43889</v>
      </c>
      <c r="B1249" t="s">
        <v>12</v>
      </c>
      <c r="C1249" s="3">
        <v>7.5759999999999996</v>
      </c>
      <c r="D1249" s="8">
        <f>LOOKUP(EOMONTH(A1249,0),Target_Prices!A$2:A$38,Target_Prices!M$2:M$38)</f>
        <v>7.4286399999999997</v>
      </c>
      <c r="E1249">
        <f t="shared" si="41"/>
        <v>-3.5518777848504213E-2</v>
      </c>
      <c r="F1249">
        <f t="shared" si="42"/>
        <v>-1.9450897571277711E-2</v>
      </c>
    </row>
    <row r="1250" spans="1:6" x14ac:dyDescent="0.35">
      <c r="A1250" s="15">
        <v>43921</v>
      </c>
      <c r="B1250" t="s">
        <v>12</v>
      </c>
      <c r="C1250" s="4">
        <v>6.3389996999999996</v>
      </c>
      <c r="D1250" s="8">
        <f>LOOKUP(EOMONTH(A1250,0),Target_Prices!A$2:A$38,Target_Prices!M$2:M$38)</f>
        <v>7.8304299999999998</v>
      </c>
      <c r="E1250">
        <f t="shared" si="41"/>
        <v>-0.16327881467793037</v>
      </c>
      <c r="F1250">
        <f t="shared" si="42"/>
        <v>0.23527849354528291</v>
      </c>
    </row>
    <row r="1251" spans="1:6" x14ac:dyDescent="0.35">
      <c r="A1251" s="16">
        <v>43951</v>
      </c>
      <c r="B1251" t="s">
        <v>12</v>
      </c>
      <c r="C1251" s="3">
        <v>6.2359999999999998</v>
      </c>
      <c r="D1251" s="8">
        <f>LOOKUP(EOMONTH(A1251,0),Target_Prices!A$2:A$38,Target_Prices!M$2:M$38)</f>
        <v>7.8304299999999998</v>
      </c>
      <c r="E1251">
        <f t="shared" si="41"/>
        <v>-1.624857309900174E-2</v>
      </c>
      <c r="F1251">
        <f t="shared" si="42"/>
        <v>0.25568152661962795</v>
      </c>
    </row>
    <row r="1252" spans="1:6" x14ac:dyDescent="0.35">
      <c r="A1252" s="15">
        <v>43980</v>
      </c>
      <c r="B1252" t="s">
        <v>12</v>
      </c>
      <c r="C1252" s="4">
        <v>6.9009999999999998</v>
      </c>
      <c r="D1252" s="8">
        <f>LOOKUP(EOMONTH(A1252,0),Target_Prices!A$2:A$38,Target_Prices!M$2:M$38)</f>
        <v>7.8304299999999998</v>
      </c>
      <c r="E1252">
        <f t="shared" si="41"/>
        <v>0.1066388710711994</v>
      </c>
      <c r="F1252">
        <f t="shared" si="42"/>
        <v>0.13468048108969716</v>
      </c>
    </row>
    <row r="1253" spans="1:6" x14ac:dyDescent="0.35">
      <c r="A1253" s="16">
        <v>44012</v>
      </c>
      <c r="B1253" t="s">
        <v>12</v>
      </c>
      <c r="C1253" s="3">
        <v>7.6779999999999999</v>
      </c>
      <c r="D1253" s="8">
        <f>LOOKUP(EOMONTH(A1253,0),Target_Prices!A$2:A$38,Target_Prices!M$2:M$38)</f>
        <v>7.8737500000000002</v>
      </c>
      <c r="E1253">
        <f t="shared" si="41"/>
        <v>0.1125923779162441</v>
      </c>
      <c r="F1253">
        <f t="shared" si="42"/>
        <v>2.5494920552227185E-2</v>
      </c>
    </row>
    <row r="1254" spans="1:6" x14ac:dyDescent="0.35">
      <c r="A1254" s="15">
        <v>44043</v>
      </c>
      <c r="B1254" t="s">
        <v>12</v>
      </c>
      <c r="C1254" s="4">
        <v>7.7290000000000001</v>
      </c>
      <c r="D1254" s="8">
        <f>LOOKUP(EOMONTH(A1254,0),Target_Prices!A$2:A$38,Target_Prices!M$2:M$38)</f>
        <v>7.8737500000000002</v>
      </c>
      <c r="E1254">
        <f t="shared" si="41"/>
        <v>6.6423547798906135E-3</v>
      </c>
      <c r="F1254">
        <f t="shared" si="42"/>
        <v>1.8728166645102878E-2</v>
      </c>
    </row>
    <row r="1255" spans="1:6" x14ac:dyDescent="0.35">
      <c r="A1255" s="16">
        <v>44074</v>
      </c>
      <c r="B1255" t="s">
        <v>12</v>
      </c>
      <c r="C1255" s="3">
        <v>7.5889996999999996</v>
      </c>
      <c r="D1255" s="8">
        <f>LOOKUP(EOMONTH(A1255,0),Target_Prices!A$2:A$38,Target_Prices!M$2:M$38)</f>
        <v>7.8737500000000002</v>
      </c>
      <c r="E1255">
        <f t="shared" si="41"/>
        <v>-1.8113636951740286E-2</v>
      </c>
      <c r="F1255">
        <f t="shared" si="42"/>
        <v>3.75214535849831E-2</v>
      </c>
    </row>
    <row r="1256" spans="1:6" x14ac:dyDescent="0.35">
      <c r="A1256" s="15">
        <v>44104</v>
      </c>
      <c r="B1256" t="s">
        <v>12</v>
      </c>
      <c r="C1256" s="4">
        <v>7.4180000000000001</v>
      </c>
      <c r="D1256" s="8">
        <f>LOOKUP(EOMONTH(A1256,0),Target_Prices!A$2:A$38,Target_Prices!M$2:M$38)</f>
        <v>8.4872700000000005</v>
      </c>
      <c r="E1256">
        <f t="shared" si="41"/>
        <v>-2.2532574352322032E-2</v>
      </c>
      <c r="F1256">
        <f t="shared" si="42"/>
        <v>0.1441453221892694</v>
      </c>
    </row>
    <row r="1257" spans="1:6" x14ac:dyDescent="0.35">
      <c r="A1257" s="16">
        <v>44134</v>
      </c>
      <c r="B1257" t="s">
        <v>12</v>
      </c>
      <c r="C1257" s="3">
        <v>6.8339999999999996</v>
      </c>
      <c r="D1257" s="8">
        <f>LOOKUP(EOMONTH(A1257,0),Target_Prices!A$2:A$38,Target_Prices!M$2:M$38)</f>
        <v>8.4872700000000005</v>
      </c>
      <c r="E1257">
        <f t="shared" si="41"/>
        <v>-7.872741978970077E-2</v>
      </c>
      <c r="F1257">
        <f t="shared" si="42"/>
        <v>0.24191834942932411</v>
      </c>
    </row>
    <row r="1258" spans="1:6" x14ac:dyDescent="0.35">
      <c r="A1258" s="15">
        <v>44165</v>
      </c>
      <c r="B1258" t="s">
        <v>12</v>
      </c>
      <c r="C1258" s="4">
        <v>8.3699999999999992</v>
      </c>
      <c r="D1258" s="8">
        <f>LOOKUP(EOMONTH(A1258,0),Target_Prices!A$2:A$38,Target_Prices!M$2:M$38)</f>
        <v>8.4872700000000005</v>
      </c>
      <c r="E1258">
        <f t="shared" si="41"/>
        <v>0.22475856014047402</v>
      </c>
      <c r="F1258">
        <f t="shared" si="42"/>
        <v>1.4010752688172201E-2</v>
      </c>
    </row>
    <row r="1259" spans="1:6" x14ac:dyDescent="0.35">
      <c r="A1259" s="16">
        <v>44196</v>
      </c>
      <c r="B1259" t="s">
        <v>12</v>
      </c>
      <c r="C1259" s="3">
        <v>8.2759999999999998</v>
      </c>
      <c r="D1259" s="8">
        <f>LOOKUP(EOMONTH(A1259,0),Target_Prices!A$2:A$38,Target_Prices!M$2:M$38)</f>
        <v>9.2652199999999993</v>
      </c>
      <c r="E1259">
        <f t="shared" si="41"/>
        <v>-1.1230585424133688E-2</v>
      </c>
      <c r="F1259">
        <f t="shared" si="42"/>
        <v>0.11952875785403572</v>
      </c>
    </row>
    <row r="1260" spans="1:6" x14ac:dyDescent="0.35">
      <c r="A1260" s="15">
        <v>44225</v>
      </c>
      <c r="B1260" t="s">
        <v>12</v>
      </c>
      <c r="C1260" s="4">
        <v>8.1910000000000007</v>
      </c>
      <c r="D1260" s="8">
        <f>LOOKUP(EOMONTH(A1260,0),Target_Prices!A$2:A$38,Target_Prices!M$2:M$38)</f>
        <v>9.2652199999999993</v>
      </c>
      <c r="E1260">
        <f t="shared" si="41"/>
        <v>-1.0270662155630661E-2</v>
      </c>
      <c r="F1260">
        <f t="shared" si="42"/>
        <v>0.13114638017336083</v>
      </c>
    </row>
    <row r="1261" spans="1:6" x14ac:dyDescent="0.35">
      <c r="A1261" s="16">
        <v>44253</v>
      </c>
      <c r="B1261" t="s">
        <v>12</v>
      </c>
      <c r="C1261" s="3">
        <v>7.8440000000000003</v>
      </c>
      <c r="D1261" s="8">
        <f>LOOKUP(EOMONTH(A1261,0),Target_Prices!A$2:A$38,Target_Prices!M$2:M$38)</f>
        <v>9.2652199999999993</v>
      </c>
      <c r="E1261">
        <f t="shared" si="41"/>
        <v>-4.2363569771700749E-2</v>
      </c>
      <c r="F1261">
        <f t="shared" si="42"/>
        <v>0.18118561958184587</v>
      </c>
    </row>
    <row r="1262" spans="1:6" x14ac:dyDescent="0.35">
      <c r="A1262" s="15">
        <v>44286</v>
      </c>
      <c r="B1262" t="s">
        <v>12</v>
      </c>
      <c r="C1262" s="4">
        <v>8.4930000000000003</v>
      </c>
      <c r="D1262" s="8">
        <f>LOOKUP(EOMONTH(A1262,0),Target_Prices!A$2:A$38,Target_Prices!M$2:M$38)</f>
        <v>9.5785699999999991</v>
      </c>
      <c r="E1262">
        <f t="shared" si="41"/>
        <v>8.2738398776134536E-2</v>
      </c>
      <c r="F1262">
        <f t="shared" si="42"/>
        <v>0.12781938066643103</v>
      </c>
    </row>
    <row r="1263" spans="1:6" x14ac:dyDescent="0.35">
      <c r="A1263" s="16">
        <v>44316</v>
      </c>
      <c r="B1263" t="s">
        <v>12</v>
      </c>
      <c r="C1263" s="3">
        <v>8.2669999999999995</v>
      </c>
      <c r="D1263" s="8">
        <f>LOOKUP(EOMONTH(A1263,0),Target_Prices!A$2:A$38,Target_Prices!M$2:M$38)</f>
        <v>9.5785699999999991</v>
      </c>
      <c r="E1263">
        <f t="shared" si="41"/>
        <v>-2.6610149534911254E-2</v>
      </c>
      <c r="F1263">
        <f t="shared" si="42"/>
        <v>0.15865126406193295</v>
      </c>
    </row>
    <row r="1264" spans="1:6" x14ac:dyDescent="0.35">
      <c r="A1264" s="15">
        <v>44347</v>
      </c>
      <c r="B1264" t="s">
        <v>12</v>
      </c>
      <c r="C1264" s="4">
        <v>8.0559999999999992</v>
      </c>
      <c r="D1264" s="8">
        <f>LOOKUP(EOMONTH(A1264,0),Target_Prices!A$2:A$38,Target_Prices!M$2:M$38)</f>
        <v>9.5785699999999991</v>
      </c>
      <c r="E1264">
        <f t="shared" si="41"/>
        <v>-2.5523164388532749E-2</v>
      </c>
      <c r="F1264">
        <f t="shared" si="42"/>
        <v>0.18899826216484608</v>
      </c>
    </row>
    <row r="1265" spans="1:6" x14ac:dyDescent="0.35">
      <c r="A1265" s="16">
        <v>44377</v>
      </c>
      <c r="B1265" t="s">
        <v>12</v>
      </c>
      <c r="C1265" s="3">
        <v>7.8319999999999999</v>
      </c>
      <c r="D1265" s="8">
        <f>LOOKUP(EOMONTH(A1265,0),Target_Prices!A$2:A$38,Target_Prices!M$2:M$38)</f>
        <v>9.4326100000000004</v>
      </c>
      <c r="E1265">
        <f t="shared" si="41"/>
        <v>-2.7805362462760552E-2</v>
      </c>
      <c r="F1265">
        <f t="shared" si="42"/>
        <v>0.20436797752808997</v>
      </c>
    </row>
    <row r="1266" spans="1:6" x14ac:dyDescent="0.35">
      <c r="A1266" s="15">
        <v>44407</v>
      </c>
      <c r="B1266" t="s">
        <v>12</v>
      </c>
      <c r="C1266" s="4">
        <v>7.7799997000000003</v>
      </c>
      <c r="D1266" s="8">
        <f>LOOKUP(EOMONTH(A1266,0),Target_Prices!A$2:A$38,Target_Prices!M$2:M$38)</f>
        <v>9.4326100000000004</v>
      </c>
      <c r="E1266">
        <f t="shared" si="41"/>
        <v>-6.6394662921347436E-3</v>
      </c>
      <c r="F1266">
        <f t="shared" si="42"/>
        <v>0.21241778454053153</v>
      </c>
    </row>
    <row r="1267" spans="1:6" x14ac:dyDescent="0.35">
      <c r="A1267" s="16">
        <v>44439</v>
      </c>
      <c r="B1267" t="s">
        <v>12</v>
      </c>
      <c r="C1267" s="3">
        <v>7.7169999999999996</v>
      </c>
      <c r="D1267" s="8">
        <f>LOOKUP(EOMONTH(A1267,0),Target_Prices!A$2:A$38,Target_Prices!M$2:M$38)</f>
        <v>9.4326100000000004</v>
      </c>
      <c r="E1267">
        <f t="shared" si="41"/>
        <v>-8.0976481271587408E-3</v>
      </c>
      <c r="F1267">
        <f t="shared" si="42"/>
        <v>0.22231566670986144</v>
      </c>
    </row>
    <row r="1268" spans="1:6" x14ac:dyDescent="0.35">
      <c r="A1268" s="15">
        <v>44469</v>
      </c>
      <c r="B1268" t="s">
        <v>12</v>
      </c>
      <c r="C1268" s="4">
        <v>6.6509999999999998</v>
      </c>
      <c r="D1268" s="8">
        <f>LOOKUP(EOMONTH(A1268,0),Target_Prices!A$2:A$38,Target_Prices!M$2:M$38)</f>
        <v>9.0250000000000004</v>
      </c>
      <c r="E1268">
        <f t="shared" si="41"/>
        <v>-0.13813658157315012</v>
      </c>
      <c r="F1268">
        <f t="shared" si="42"/>
        <v>0.35693880619455731</v>
      </c>
    </row>
    <row r="1269" spans="1:6" x14ac:dyDescent="0.35">
      <c r="A1269" s="16">
        <v>44498</v>
      </c>
      <c r="B1269" t="s">
        <v>12</v>
      </c>
      <c r="C1269" s="3">
        <v>7.2359999999999998</v>
      </c>
      <c r="D1269" s="8">
        <f>LOOKUP(EOMONTH(A1269,0),Target_Prices!A$2:A$38,Target_Prices!M$2:M$38)</f>
        <v>9.0250000000000004</v>
      </c>
      <c r="E1269">
        <f t="shared" si="41"/>
        <v>8.7956698240865938E-2</v>
      </c>
      <c r="F1269">
        <f t="shared" si="42"/>
        <v>0.24723604201216151</v>
      </c>
    </row>
    <row r="1270" spans="1:6" x14ac:dyDescent="0.35">
      <c r="A1270" s="15">
        <v>44530</v>
      </c>
      <c r="B1270" t="s">
        <v>12</v>
      </c>
      <c r="C1270" s="4">
        <v>6.7069999999999999</v>
      </c>
      <c r="D1270" s="8">
        <f>LOOKUP(EOMONTH(A1270,0),Target_Prices!A$2:A$38,Target_Prices!M$2:M$38)</f>
        <v>9.0250000000000004</v>
      </c>
      <c r="E1270">
        <f t="shared" si="41"/>
        <v>-7.3106688778330597E-2</v>
      </c>
      <c r="F1270">
        <f t="shared" si="42"/>
        <v>0.34560906515580747</v>
      </c>
    </row>
    <row r="1271" spans="1:6" x14ac:dyDescent="0.35">
      <c r="A1271" s="16">
        <v>44561</v>
      </c>
      <c r="B1271" t="s">
        <v>12</v>
      </c>
      <c r="C1271" s="3">
        <v>7.0460000000000003</v>
      </c>
      <c r="D1271" s="8">
        <f>LOOKUP(EOMONTH(A1271,0),Target_Prices!A$2:A$38,Target_Prices!M$2:M$38)</f>
        <v>8.7495700000000003</v>
      </c>
      <c r="E1271">
        <f t="shared" si="41"/>
        <v>5.0544207544356734E-2</v>
      </c>
      <c r="F1271">
        <f t="shared" si="42"/>
        <v>0.24177831393698551</v>
      </c>
    </row>
    <row r="1272" spans="1:6" x14ac:dyDescent="0.35">
      <c r="A1272" s="15">
        <v>44592</v>
      </c>
      <c r="B1272" t="s">
        <v>12</v>
      </c>
      <c r="C1272" s="4">
        <v>6.7809999999999997</v>
      </c>
      <c r="D1272" s="8">
        <f>LOOKUP(EOMONTH(A1272,0),Target_Prices!A$2:A$38,Target_Prices!M$2:M$38)</f>
        <v>8.7495700000000003</v>
      </c>
      <c r="E1272">
        <f t="shared" si="41"/>
        <v>-3.7609991484530259E-2</v>
      </c>
      <c r="F1272">
        <f t="shared" si="42"/>
        <v>0.29030673941896484</v>
      </c>
    </row>
    <row r="1273" spans="1:6" x14ac:dyDescent="0.35">
      <c r="A1273" s="16">
        <v>44620</v>
      </c>
      <c r="B1273" t="s">
        <v>12</v>
      </c>
      <c r="C1273" s="3">
        <v>6.5990000000000002</v>
      </c>
      <c r="D1273" s="8">
        <f>LOOKUP(EOMONTH(A1273,0),Target_Prices!A$2:A$38,Target_Prices!M$2:M$38)</f>
        <v>8.7495700000000003</v>
      </c>
      <c r="E1273">
        <f t="shared" si="41"/>
        <v>-2.6839699159415975E-2</v>
      </c>
      <c r="F1273">
        <f t="shared" si="42"/>
        <v>0.32589331716926806</v>
      </c>
    </row>
    <row r="1274" spans="1:6" x14ac:dyDescent="0.35">
      <c r="A1274" s="15">
        <v>44651</v>
      </c>
      <c r="B1274" t="s">
        <v>12</v>
      </c>
      <c r="C1274" s="4">
        <v>6.0679999999999996</v>
      </c>
      <c r="D1274" s="8">
        <f>LOOKUP(EOMONTH(A1274,0),Target_Prices!A$2:A$38,Target_Prices!M$2:M$38)</f>
        <v>8.3550000000000004</v>
      </c>
      <c r="E1274">
        <f t="shared" si="41"/>
        <v>-8.0466737384452314E-2</v>
      </c>
      <c r="F1274">
        <f t="shared" si="42"/>
        <v>0.37689518787079779</v>
      </c>
    </row>
    <row r="1275" spans="1:6" x14ac:dyDescent="0.35">
      <c r="A1275" s="16">
        <v>44680</v>
      </c>
      <c r="B1275" t="s">
        <v>12</v>
      </c>
      <c r="C1275" s="3">
        <v>6.218</v>
      </c>
      <c r="D1275" s="8">
        <f>LOOKUP(EOMONTH(A1275,0),Target_Prices!A$2:A$38,Target_Prices!M$2:M$38)</f>
        <v>8.3550000000000004</v>
      </c>
      <c r="E1275">
        <f t="shared" si="41"/>
        <v>2.4719841793012565E-2</v>
      </c>
      <c r="F1275">
        <f t="shared" si="42"/>
        <v>0.34367963975554849</v>
      </c>
    </row>
    <row r="1276" spans="1:6" x14ac:dyDescent="0.35">
      <c r="A1276" s="15">
        <v>44712</v>
      </c>
      <c r="B1276" t="s">
        <v>12</v>
      </c>
      <c r="C1276" s="4">
        <v>6.0439999999999996</v>
      </c>
      <c r="D1276" s="8">
        <f>LOOKUP(EOMONTH(A1276,0),Target_Prices!A$2:A$38,Target_Prices!M$2:M$38)</f>
        <v>8.3550000000000004</v>
      </c>
      <c r="E1276">
        <f t="shared" si="41"/>
        <v>-2.7983274364747568E-2</v>
      </c>
      <c r="F1276">
        <f t="shared" si="42"/>
        <v>0.38236267372600941</v>
      </c>
    </row>
    <row r="1277" spans="1:6" x14ac:dyDescent="0.35">
      <c r="A1277" s="16">
        <v>44742</v>
      </c>
      <c r="B1277" t="s">
        <v>12</v>
      </c>
      <c r="C1277" s="3">
        <v>5.22</v>
      </c>
      <c r="D1277" s="8">
        <f>LOOKUP(EOMONTH(A1277,0),Target_Prices!A$2:A$38,Target_Prices!M$2:M$38)</f>
        <v>8.3224999999999998</v>
      </c>
      <c r="E1277">
        <f t="shared" si="41"/>
        <v>-0.13633355393778956</v>
      </c>
      <c r="F1277">
        <f t="shared" si="42"/>
        <v>0.59434865900383149</v>
      </c>
    </row>
    <row r="1278" spans="1:6" x14ac:dyDescent="0.35">
      <c r="A1278" s="15">
        <v>44771</v>
      </c>
      <c r="B1278" t="s">
        <v>12</v>
      </c>
      <c r="C1278" s="4">
        <v>4.9089999999999998</v>
      </c>
      <c r="D1278" s="8">
        <f>LOOKUP(EOMONTH(A1278,0),Target_Prices!A$2:A$38,Target_Prices!M$2:M$38)</f>
        <v>8.3224999999999998</v>
      </c>
      <c r="E1278">
        <f t="shared" ref="E1278:E1320" si="43">(C1278/C1277)-1</f>
        <v>-5.9578544061302696E-2</v>
      </c>
      <c r="F1278">
        <f t="shared" si="42"/>
        <v>0.69535546954573235</v>
      </c>
    </row>
    <row r="1279" spans="1:6" x14ac:dyDescent="0.35">
      <c r="A1279" s="16">
        <v>44804</v>
      </c>
      <c r="B1279" t="s">
        <v>12</v>
      </c>
      <c r="C1279" s="3">
        <v>4.6955</v>
      </c>
      <c r="D1279" s="8">
        <f>LOOKUP(EOMONTH(A1279,0),Target_Prices!A$2:A$38,Target_Prices!M$2:M$38)</f>
        <v>8.3224999999999998</v>
      </c>
      <c r="E1279">
        <f t="shared" si="43"/>
        <v>-4.3491546139743265E-2</v>
      </c>
      <c r="F1279">
        <f t="shared" si="42"/>
        <v>0.7724416994995208</v>
      </c>
    </row>
    <row r="1280" spans="1:6" x14ac:dyDescent="0.35">
      <c r="A1280" s="15">
        <v>44834</v>
      </c>
      <c r="B1280" t="s">
        <v>12</v>
      </c>
      <c r="C1280" s="4">
        <v>4.2240000000000002</v>
      </c>
      <c r="D1280" s="8">
        <f>LOOKUP(EOMONTH(A1280,0),Target_Prices!A$2:A$38,Target_Prices!M$2:M$38)</f>
        <v>7.7839200000000002</v>
      </c>
      <c r="E1280">
        <f t="shared" si="43"/>
        <v>-0.10041529123629001</v>
      </c>
      <c r="F1280">
        <f t="shared" si="42"/>
        <v>0.8427840909090909</v>
      </c>
    </row>
    <row r="1281" spans="1:6" x14ac:dyDescent="0.35">
      <c r="A1281" s="16">
        <v>44865</v>
      </c>
      <c r="B1281" t="s">
        <v>12</v>
      </c>
      <c r="C1281" s="3">
        <v>4.5190000000000001</v>
      </c>
      <c r="D1281" s="8">
        <f>LOOKUP(EOMONTH(A1281,0),Target_Prices!A$2:A$38,Target_Prices!M$2:M$38)</f>
        <v>7.7839200000000002</v>
      </c>
      <c r="E1281">
        <f t="shared" si="43"/>
        <v>6.9839015151515138E-2</v>
      </c>
      <c r="F1281">
        <f t="shared" si="42"/>
        <v>0.7224872759460057</v>
      </c>
    </row>
    <row r="1282" spans="1:6" x14ac:dyDescent="0.35">
      <c r="A1282" s="15">
        <v>44895</v>
      </c>
      <c r="B1282" t="s">
        <v>12</v>
      </c>
      <c r="C1282" s="4">
        <v>5.1340000000000003</v>
      </c>
      <c r="D1282" s="8">
        <f>LOOKUP(EOMONTH(A1282,0),Target_Prices!A$2:A$38,Target_Prices!M$2:M$38)</f>
        <v>7.7839200000000002</v>
      </c>
      <c r="E1282">
        <f t="shared" si="43"/>
        <v>0.13609205576454975</v>
      </c>
      <c r="F1282">
        <f t="shared" si="42"/>
        <v>0.51615114920140237</v>
      </c>
    </row>
    <row r="1283" spans="1:6" x14ac:dyDescent="0.35">
      <c r="A1283" s="16">
        <v>44925</v>
      </c>
      <c r="B1283" t="s">
        <v>12</v>
      </c>
      <c r="C1283" s="3">
        <v>5.03</v>
      </c>
      <c r="D1283" s="8">
        <f>LOOKUP(EOMONTH(A1283,0),Target_Prices!A$2:A$38,Target_Prices!M$2:M$38)</f>
        <v>7.0244</v>
      </c>
      <c r="E1283">
        <f t="shared" si="43"/>
        <v>-2.0257109466303103E-2</v>
      </c>
      <c r="F1283">
        <f t="shared" ref="F1283:F1321" si="44">(D1283-C1283)/C1283</f>
        <v>0.3965009940357852</v>
      </c>
    </row>
    <row r="1284" spans="1:6" x14ac:dyDescent="0.35">
      <c r="A1284" s="15">
        <v>44957</v>
      </c>
      <c r="B1284" t="s">
        <v>12</v>
      </c>
      <c r="C1284" s="4">
        <v>5.391</v>
      </c>
      <c r="D1284" s="8">
        <f>LOOKUP(EOMONTH(A1284,0),Target_Prices!A$2:A$38,Target_Prices!M$2:M$38)</f>
        <v>7.0244</v>
      </c>
      <c r="E1284">
        <f t="shared" si="43"/>
        <v>7.1769383697813049E-2</v>
      </c>
      <c r="F1284">
        <f t="shared" si="44"/>
        <v>0.30298645891300313</v>
      </c>
    </row>
    <row r="1285" spans="1:6" x14ac:dyDescent="0.35">
      <c r="A1285" s="16">
        <v>44985</v>
      </c>
      <c r="B1285" t="s">
        <v>12</v>
      </c>
      <c r="C1285" s="3">
        <v>5.3170000000000002</v>
      </c>
      <c r="D1285" s="8">
        <f>LOOKUP(EOMONTH(A1285,0),Target_Prices!A$2:A$38,Target_Prices!M$2:M$38)</f>
        <v>7.0244</v>
      </c>
      <c r="E1285">
        <f t="shared" si="43"/>
        <v>-1.3726581339269073E-2</v>
      </c>
      <c r="F1285">
        <f t="shared" si="44"/>
        <v>0.32112093285687415</v>
      </c>
    </row>
    <row r="1286" spans="1:6" x14ac:dyDescent="0.35">
      <c r="A1286" s="15">
        <v>45016</v>
      </c>
      <c r="B1286" t="s">
        <v>12</v>
      </c>
      <c r="C1286" s="4">
        <v>5.6269999999999998</v>
      </c>
      <c r="D1286" s="8">
        <f>LOOKUP(EOMONTH(A1286,0),Target_Prices!A$2:A$38,Target_Prices!M$2:M$38)</f>
        <v>6.9327100000000002</v>
      </c>
      <c r="E1286">
        <f t="shared" si="43"/>
        <v>5.8303554636072841E-2</v>
      </c>
      <c r="F1286">
        <f t="shared" si="44"/>
        <v>0.23204371778923058</v>
      </c>
    </row>
    <row r="1287" spans="1:6" x14ac:dyDescent="0.35">
      <c r="A1287" s="16">
        <v>45044</v>
      </c>
      <c r="B1287" t="s">
        <v>12</v>
      </c>
      <c r="C1287" s="3">
        <v>6.1989999999999998</v>
      </c>
      <c r="D1287" s="8">
        <f>LOOKUP(EOMONTH(A1287,0),Target_Prices!A$2:A$38,Target_Prices!M$2:M$38)</f>
        <v>6.9327100000000002</v>
      </c>
      <c r="E1287">
        <f t="shared" si="43"/>
        <v>0.10165274569042126</v>
      </c>
      <c r="F1287">
        <f t="shared" si="44"/>
        <v>0.11835941280851756</v>
      </c>
    </row>
    <row r="1288" spans="1:6" x14ac:dyDescent="0.35">
      <c r="A1288" s="15">
        <v>45077</v>
      </c>
      <c r="B1288" t="s">
        <v>12</v>
      </c>
      <c r="C1288" s="4">
        <v>5.8579999999999997</v>
      </c>
      <c r="D1288" s="8">
        <f>LOOKUP(EOMONTH(A1288,0),Target_Prices!A$2:A$38,Target_Prices!M$2:M$38)</f>
        <v>6.9327100000000002</v>
      </c>
      <c r="E1288">
        <f t="shared" si="43"/>
        <v>-5.5008872398774056E-2</v>
      </c>
      <c r="F1288">
        <f t="shared" si="44"/>
        <v>0.1834602253328782</v>
      </c>
    </row>
    <row r="1289" spans="1:6" x14ac:dyDescent="0.35">
      <c r="A1289" s="16">
        <v>45107</v>
      </c>
      <c r="B1289" t="s">
        <v>12</v>
      </c>
      <c r="C1289" s="3">
        <v>6.1680000000000001</v>
      </c>
      <c r="D1289" s="8">
        <f>LOOKUP(EOMONTH(A1289,0),Target_Prices!A$2:A$38,Target_Prices!M$2:M$38)</f>
        <v>7.2654899999999998</v>
      </c>
      <c r="E1289">
        <f t="shared" si="43"/>
        <v>5.291908501194964E-2</v>
      </c>
      <c r="F1289">
        <f t="shared" si="44"/>
        <v>0.17793287937743185</v>
      </c>
    </row>
    <row r="1290" spans="1:6" x14ac:dyDescent="0.35">
      <c r="A1290" s="15">
        <v>45138</v>
      </c>
      <c r="B1290" t="s">
        <v>12</v>
      </c>
      <c r="C1290" s="4">
        <v>6.2720000000000002</v>
      </c>
      <c r="D1290" s="8">
        <f>LOOKUP(EOMONTH(A1290,0),Target_Prices!A$2:A$38,Target_Prices!M$2:M$38)</f>
        <v>7.2654899999999998</v>
      </c>
      <c r="E1290">
        <f t="shared" si="43"/>
        <v>1.6861219195849486E-2</v>
      </c>
      <c r="F1290">
        <f t="shared" si="44"/>
        <v>0.15840082908163258</v>
      </c>
    </row>
    <row r="1291" spans="1:6" x14ac:dyDescent="0.35">
      <c r="A1291" s="16">
        <v>45169</v>
      </c>
      <c r="B1291" t="s">
        <v>12</v>
      </c>
      <c r="C1291" s="3">
        <v>6.21</v>
      </c>
      <c r="D1291" s="8">
        <f>LOOKUP(EOMONTH(A1291,0),Target_Prices!A$2:A$38,Target_Prices!M$2:M$38)</f>
        <v>7.2654899999999998</v>
      </c>
      <c r="E1291">
        <f t="shared" si="43"/>
        <v>-9.8852040816327369E-3</v>
      </c>
      <c r="F1291">
        <f t="shared" si="44"/>
        <v>0.16996618357487919</v>
      </c>
    </row>
    <row r="1292" spans="1:6" x14ac:dyDescent="0.35">
      <c r="A1292" s="15">
        <v>45198</v>
      </c>
      <c r="B1292" t="s">
        <v>12</v>
      </c>
      <c r="C1292" s="4">
        <v>5.82</v>
      </c>
      <c r="D1292" s="8">
        <f>LOOKUP(EOMONTH(A1292,0),Target_Prices!A$2:A$38,Target_Prices!M$2:M$38)</f>
        <v>7.6802400000000004</v>
      </c>
      <c r="E1292">
        <f t="shared" si="43"/>
        <v>-6.2801932367149704E-2</v>
      </c>
      <c r="F1292">
        <f t="shared" si="44"/>
        <v>0.31962886597938145</v>
      </c>
    </row>
    <row r="1293" spans="1:6" x14ac:dyDescent="0.35">
      <c r="A1293" s="16">
        <v>45230</v>
      </c>
      <c r="B1293" t="s">
        <v>12</v>
      </c>
      <c r="C1293" s="3">
        <v>5.9880000000000004</v>
      </c>
      <c r="D1293" s="8">
        <f>LOOKUP(EOMONTH(A1293,0),Target_Prices!A$2:A$38,Target_Prices!M$2:M$38)</f>
        <v>7.6802400000000004</v>
      </c>
      <c r="E1293">
        <f t="shared" si="43"/>
        <v>2.8865979381443418E-2</v>
      </c>
      <c r="F1293">
        <f t="shared" si="44"/>
        <v>0.28260521042084163</v>
      </c>
    </row>
    <row r="1294" spans="1:6" x14ac:dyDescent="0.35">
      <c r="A1294" s="15">
        <v>45260</v>
      </c>
      <c r="B1294" t="s">
        <v>12</v>
      </c>
      <c r="C1294" s="4">
        <v>6.4859999999999998</v>
      </c>
      <c r="D1294" s="8">
        <f>LOOKUP(EOMONTH(A1294,0),Target_Prices!A$2:A$38,Target_Prices!M$2:M$38)</f>
        <v>7.6802400000000004</v>
      </c>
      <c r="E1294">
        <f t="shared" si="43"/>
        <v>8.3166332665330467E-2</v>
      </c>
      <c r="F1294">
        <f t="shared" si="44"/>
        <v>0.18412580943570778</v>
      </c>
    </row>
    <row r="1295" spans="1:6" x14ac:dyDescent="0.35">
      <c r="A1295" s="16">
        <v>45289</v>
      </c>
      <c r="B1295" t="s">
        <v>12</v>
      </c>
      <c r="C1295" s="3">
        <v>6.73</v>
      </c>
      <c r="D1295" s="8">
        <f>LOOKUP(EOMONTH(A1295,0),Target_Prices!A$2:A$38,Target_Prices!M$2:M$38)</f>
        <v>7.5824999999999996</v>
      </c>
      <c r="E1295">
        <f t="shared" si="43"/>
        <v>3.7619488128276313E-2</v>
      </c>
      <c r="F1295">
        <f t="shared" si="44"/>
        <v>0.12667161961366999</v>
      </c>
    </row>
    <row r="1296" spans="1:6" x14ac:dyDescent="0.35">
      <c r="A1296" s="15">
        <v>45322</v>
      </c>
      <c r="B1296" t="s">
        <v>12</v>
      </c>
      <c r="C1296" s="4">
        <v>6.3410000000000002</v>
      </c>
      <c r="D1296" s="8">
        <f>LOOKUP(EOMONTH(A1296,0),Target_Prices!A$2:A$38,Target_Prices!M$2:M$38)</f>
        <v>7.5824999999999996</v>
      </c>
      <c r="E1296">
        <f t="shared" si="43"/>
        <v>-5.7800891530460641E-2</v>
      </c>
      <c r="F1296">
        <f t="shared" si="44"/>
        <v>0.19578930768017652</v>
      </c>
    </row>
    <row r="1297" spans="1:6" x14ac:dyDescent="0.35">
      <c r="A1297" s="16">
        <v>45351</v>
      </c>
      <c r="B1297" t="s">
        <v>12</v>
      </c>
      <c r="C1297" s="3">
        <v>5.883</v>
      </c>
      <c r="D1297" s="8">
        <f>LOOKUP(EOMONTH(A1297,0),Target_Prices!A$2:A$38,Target_Prices!M$2:M$38)</f>
        <v>7.5824999999999996</v>
      </c>
      <c r="E1297">
        <f t="shared" si="43"/>
        <v>-7.2228355149030143E-2</v>
      </c>
      <c r="F1297">
        <f t="shared" si="44"/>
        <v>0.2888832228454869</v>
      </c>
    </row>
    <row r="1298" spans="1:6" x14ac:dyDescent="0.35">
      <c r="A1298" s="15">
        <v>45380</v>
      </c>
      <c r="B1298" t="s">
        <v>12</v>
      </c>
      <c r="C1298" s="4">
        <v>6.1189999999999998</v>
      </c>
      <c r="D1298" s="8">
        <f>LOOKUP(EOMONTH(A1298,0),Target_Prices!A$2:A$38,Target_Prices!M$2:M$38)</f>
        <v>7.5949999999999998</v>
      </c>
      <c r="E1298">
        <f t="shared" si="43"/>
        <v>4.0115587285398657E-2</v>
      </c>
      <c r="F1298">
        <f t="shared" si="44"/>
        <v>0.241215884948521</v>
      </c>
    </row>
    <row r="1299" spans="1:6" x14ac:dyDescent="0.35">
      <c r="A1299" s="16">
        <v>45412</v>
      </c>
      <c r="B1299" t="s">
        <v>12</v>
      </c>
      <c r="C1299" s="3">
        <v>6.1809998000000004</v>
      </c>
      <c r="D1299" s="8">
        <f>LOOKUP(EOMONTH(A1299,0),Target_Prices!A$2:A$38,Target_Prices!M$2:M$38)</f>
        <v>7.5949999999999998</v>
      </c>
      <c r="E1299">
        <f t="shared" si="43"/>
        <v>1.0132341885929153E-2</v>
      </c>
      <c r="F1299">
        <f t="shared" si="44"/>
        <v>0.2287656116733735</v>
      </c>
    </row>
    <row r="1300" spans="1:6" x14ac:dyDescent="0.35">
      <c r="A1300" s="15">
        <v>45443</v>
      </c>
      <c r="B1300" t="s">
        <v>12</v>
      </c>
      <c r="C1300" s="4">
        <v>6.6559999999999997</v>
      </c>
      <c r="D1300" s="8">
        <f>LOOKUP(EOMONTH(A1300,0),Target_Prices!A$2:A$38,Target_Prices!M$2:M$38)</f>
        <v>7.5949999999999998</v>
      </c>
      <c r="E1300">
        <f t="shared" si="43"/>
        <v>7.6848441250556121E-2</v>
      </c>
      <c r="F1300">
        <f t="shared" si="44"/>
        <v>0.14107572115384617</v>
      </c>
    </row>
    <row r="1301" spans="1:6" x14ac:dyDescent="0.35">
      <c r="A1301" s="16">
        <v>45471</v>
      </c>
      <c r="B1301" t="s">
        <v>12</v>
      </c>
      <c r="C1301" s="3">
        <v>6.4939999999999998</v>
      </c>
      <c r="D1301" s="8">
        <f>LOOKUP(EOMONTH(A1301,0),Target_Prices!A$2:A$38,Target_Prices!M$2:M$38)</f>
        <v>7.5578900000000004</v>
      </c>
      <c r="E1301">
        <f t="shared" si="43"/>
        <v>-2.4338942307692291E-2</v>
      </c>
      <c r="F1301">
        <f t="shared" si="44"/>
        <v>0.16382660917770261</v>
      </c>
    </row>
    <row r="1302" spans="1:6" x14ac:dyDescent="0.35">
      <c r="A1302" s="15">
        <v>45504</v>
      </c>
      <c r="B1302" t="s">
        <v>12</v>
      </c>
      <c r="C1302" s="4">
        <v>6.5940000000000003</v>
      </c>
      <c r="D1302" s="8">
        <f>LOOKUP(EOMONTH(A1302,0),Target_Prices!A$2:A$38,Target_Prices!M$2:M$38)</f>
        <v>7.5578900000000004</v>
      </c>
      <c r="E1302">
        <f t="shared" si="43"/>
        <v>1.5398829688943794E-2</v>
      </c>
      <c r="F1302">
        <f t="shared" si="44"/>
        <v>0.14617682741886565</v>
      </c>
    </row>
    <row r="1303" spans="1:6" x14ac:dyDescent="0.35">
      <c r="A1303" s="16">
        <v>45534</v>
      </c>
      <c r="B1303" t="s">
        <v>12</v>
      </c>
      <c r="C1303" s="3">
        <v>6.8639999999999999</v>
      </c>
      <c r="D1303" s="8">
        <f>LOOKUP(EOMONTH(A1303,0),Target_Prices!A$2:A$38,Target_Prices!M$2:M$38)</f>
        <v>7.5578900000000004</v>
      </c>
      <c r="E1303">
        <f t="shared" si="43"/>
        <v>4.0946314831665109E-2</v>
      </c>
      <c r="F1303">
        <f t="shared" si="44"/>
        <v>0.10109120046620056</v>
      </c>
    </row>
    <row r="1304" spans="1:6" x14ac:dyDescent="0.35">
      <c r="A1304" s="15">
        <v>45565</v>
      </c>
      <c r="B1304" t="s">
        <v>12</v>
      </c>
      <c r="C1304" s="4">
        <v>7.1749999999999998</v>
      </c>
      <c r="D1304" s="8">
        <f>LOOKUP(EOMONTH(A1304,0),Target_Prices!A$2:A$38,Target_Prices!M$2:M$38)</f>
        <v>7.78</v>
      </c>
      <c r="E1304">
        <f t="shared" si="43"/>
        <v>4.530885780885785E-2</v>
      </c>
      <c r="F1304">
        <f t="shared" si="44"/>
        <v>8.4320557491289264E-2</v>
      </c>
    </row>
    <row r="1305" spans="1:6" x14ac:dyDescent="0.35">
      <c r="A1305" s="16">
        <v>45596</v>
      </c>
      <c r="B1305" t="s">
        <v>12</v>
      </c>
      <c r="C1305" s="3">
        <v>6.9700002999999997</v>
      </c>
      <c r="D1305" s="8">
        <f>LOOKUP(EOMONTH(A1305,0),Target_Prices!A$2:A$38,Target_Prices!M$2:M$38)</f>
        <v>7.78</v>
      </c>
      <c r="E1305">
        <f t="shared" si="43"/>
        <v>-2.8571386759581929E-2</v>
      </c>
      <c r="F1305">
        <f t="shared" si="44"/>
        <v>0.11621229055040365</v>
      </c>
    </row>
    <row r="1306" spans="1:6" x14ac:dyDescent="0.35">
      <c r="A1306" s="15">
        <v>45625</v>
      </c>
      <c r="B1306" t="s">
        <v>12</v>
      </c>
      <c r="C1306" s="4">
        <v>6.81</v>
      </c>
      <c r="D1306" s="8">
        <f>LOOKUP(EOMONTH(A1306,0),Target_Prices!A$2:A$38,Target_Prices!M$2:M$38)</f>
        <v>7.78</v>
      </c>
      <c r="E1306">
        <f t="shared" si="43"/>
        <v>-2.2955565726446303E-2</v>
      </c>
      <c r="F1306">
        <f t="shared" si="44"/>
        <v>0.14243759177679893</v>
      </c>
    </row>
    <row r="1307" spans="1:6" x14ac:dyDescent="0.35">
      <c r="A1307" s="16">
        <v>45657</v>
      </c>
      <c r="B1307" t="s">
        <v>12</v>
      </c>
      <c r="C1307" s="3">
        <v>6.8860000000000001</v>
      </c>
      <c r="D1307" s="8">
        <f>LOOKUP(EOMONTH(A1307,0),Target_Prices!A$2:A$38,Target_Prices!M$2:M$38)</f>
        <v>7.9912999999999998</v>
      </c>
      <c r="E1307">
        <f t="shared" si="43"/>
        <v>1.1160058737151424E-2</v>
      </c>
      <c r="F1307">
        <f t="shared" si="44"/>
        <v>0.16051408655242516</v>
      </c>
    </row>
    <row r="1308" spans="1:6" x14ac:dyDescent="0.35">
      <c r="A1308" s="15">
        <v>45688</v>
      </c>
      <c r="B1308" t="s">
        <v>12</v>
      </c>
      <c r="C1308" s="4">
        <v>6.8689999999999998</v>
      </c>
      <c r="D1308" s="8">
        <f>LOOKUP(EOMONTH(A1308,0),Target_Prices!A$2:A$38,Target_Prices!M$2:M$38)</f>
        <v>7.9912999999999998</v>
      </c>
      <c r="E1308">
        <f t="shared" si="43"/>
        <v>-2.4687772291606125E-3</v>
      </c>
      <c r="F1308">
        <f t="shared" si="44"/>
        <v>0.16338622798078326</v>
      </c>
    </row>
    <row r="1309" spans="1:6" x14ac:dyDescent="0.35">
      <c r="A1309" s="16">
        <v>45716</v>
      </c>
      <c r="B1309" t="s">
        <v>12</v>
      </c>
      <c r="C1309" s="3">
        <v>7.0590000000000002</v>
      </c>
      <c r="D1309" s="8">
        <f>LOOKUP(EOMONTH(A1309,0),Target_Prices!A$2:A$38,Target_Prices!M$2:M$38)</f>
        <v>7.9912999999999998</v>
      </c>
      <c r="E1309">
        <f t="shared" si="43"/>
        <v>2.7660503712330753E-2</v>
      </c>
      <c r="F1309">
        <f t="shared" si="44"/>
        <v>0.13207253152004528</v>
      </c>
    </row>
    <row r="1310" spans="1:6" x14ac:dyDescent="0.35">
      <c r="A1310" s="15">
        <v>45747</v>
      </c>
      <c r="B1310" t="s">
        <v>12</v>
      </c>
      <c r="C1310" s="4">
        <v>7.4969999999999999</v>
      </c>
      <c r="D1310" s="8">
        <f>LOOKUP(EOMONTH(A1310,0),Target_Prices!A$2:A$38,Target_Prices!M$2:M$38)</f>
        <v>8.0545500000000008</v>
      </c>
      <c r="E1310">
        <f t="shared" si="43"/>
        <v>6.2048448788780242E-2</v>
      </c>
      <c r="F1310">
        <f t="shared" si="44"/>
        <v>7.4369747899159788E-2</v>
      </c>
    </row>
    <row r="1311" spans="1:6" x14ac:dyDescent="0.35">
      <c r="A1311" s="16">
        <v>45777</v>
      </c>
      <c r="B1311" t="s">
        <v>12</v>
      </c>
      <c r="C1311" s="3">
        <v>7.6440000000000001</v>
      </c>
      <c r="D1311" s="8">
        <f>LOOKUP(EOMONTH(A1311,0),Target_Prices!A$2:A$38,Target_Prices!M$2:M$38)</f>
        <v>8.0545500000000008</v>
      </c>
      <c r="E1311">
        <f t="shared" si="43"/>
        <v>1.9607843137254832E-2</v>
      </c>
      <c r="F1311">
        <f t="shared" si="44"/>
        <v>5.3708791208791289E-2</v>
      </c>
    </row>
    <row r="1312" spans="1:6" x14ac:dyDescent="0.35">
      <c r="A1312" s="15">
        <v>45807</v>
      </c>
      <c r="B1312" t="s">
        <v>12</v>
      </c>
      <c r="C1312" s="4">
        <v>8.0850000000000009</v>
      </c>
      <c r="D1312" s="8">
        <f>LOOKUP(EOMONTH(A1312,0),Target_Prices!A$2:A$38,Target_Prices!M$2:M$38)</f>
        <v>8.0545500000000008</v>
      </c>
      <c r="E1312">
        <f t="shared" si="43"/>
        <v>5.7692307692307709E-2</v>
      </c>
      <c r="F1312">
        <f t="shared" si="44"/>
        <v>-3.7662337662337769E-3</v>
      </c>
    </row>
    <row r="1313" spans="1:6" x14ac:dyDescent="0.35">
      <c r="A1313" s="16">
        <v>45838</v>
      </c>
      <c r="B1313" t="s">
        <v>12</v>
      </c>
      <c r="C1313" s="3">
        <v>8.0559999999999992</v>
      </c>
      <c r="D1313" s="8">
        <f>LOOKUP(EOMONTH(A1313,0),Target_Prices!A$2:A$38,Target_Prices!M$2:M$38)</f>
        <v>8.4545499999999993</v>
      </c>
      <c r="E1313">
        <f t="shared" si="43"/>
        <v>-3.5868893011752334E-3</v>
      </c>
      <c r="F1313">
        <f t="shared" si="44"/>
        <v>4.947244289970211E-2</v>
      </c>
    </row>
    <row r="1314" spans="1:6" x14ac:dyDescent="0.35">
      <c r="A1314" s="15">
        <v>45869</v>
      </c>
      <c r="B1314" t="s">
        <v>12</v>
      </c>
      <c r="C1314" s="4">
        <v>7.7329999999999997</v>
      </c>
      <c r="D1314" s="8">
        <f>LOOKUP(EOMONTH(A1314,0),Target_Prices!A$2:A$38,Target_Prices!M$2:M$38)</f>
        <v>8.4545499999999993</v>
      </c>
      <c r="E1314">
        <f t="shared" si="43"/>
        <v>-4.0094339622641417E-2</v>
      </c>
      <c r="F1314">
        <f t="shared" si="44"/>
        <v>9.3307901202638002E-2</v>
      </c>
    </row>
    <row r="1315" spans="1:6" x14ac:dyDescent="0.35">
      <c r="A1315" s="16">
        <v>45898</v>
      </c>
      <c r="B1315" t="s">
        <v>12</v>
      </c>
      <c r="C1315" s="3">
        <v>7.8840000000000003</v>
      </c>
      <c r="D1315" s="8">
        <f>LOOKUP(EOMONTH(A1315,0),Target_Prices!A$2:A$38,Target_Prices!M$2:M$38)</f>
        <v>8.4545499999999993</v>
      </c>
      <c r="E1315">
        <f t="shared" si="43"/>
        <v>1.95267037372302E-2</v>
      </c>
      <c r="F1315">
        <f t="shared" si="44"/>
        <v>7.2368087265347408E-2</v>
      </c>
    </row>
    <row r="1316" spans="1:6" x14ac:dyDescent="0.35">
      <c r="A1316" s="15">
        <v>45930</v>
      </c>
      <c r="B1316" t="s">
        <v>12</v>
      </c>
      <c r="C1316" s="4">
        <v>8.0660000000000007</v>
      </c>
      <c r="D1316" s="8">
        <f>LOOKUP(EOMONTH(A1316,0),Target_Prices!A$2:A$38,Target_Prices!M$2:M$38)</f>
        <v>8.5809499999999996</v>
      </c>
      <c r="E1316">
        <f t="shared" si="43"/>
        <v>2.3084728564180645E-2</v>
      </c>
      <c r="F1316">
        <f t="shared" si="44"/>
        <v>6.3842053062236406E-2</v>
      </c>
    </row>
    <row r="1317" spans="1:6" x14ac:dyDescent="0.35">
      <c r="A1317" s="16">
        <v>45961</v>
      </c>
      <c r="B1317" t="s">
        <v>12</v>
      </c>
      <c r="C1317" s="3">
        <v>8.7720000000000002</v>
      </c>
      <c r="D1317" s="8">
        <f>LOOKUP(EOMONTH(A1317,0),Target_Prices!A$2:A$38,Target_Prices!M$2:M$38)</f>
        <v>8.5809499999999996</v>
      </c>
      <c r="E1317">
        <f t="shared" si="43"/>
        <v>8.7527894867344358E-2</v>
      </c>
      <c r="F1317">
        <f t="shared" si="44"/>
        <v>-2.177952576379396E-2</v>
      </c>
    </row>
    <row r="1318" spans="1:6" x14ac:dyDescent="0.35">
      <c r="A1318" s="15">
        <v>45989</v>
      </c>
      <c r="B1318" t="s">
        <v>12</v>
      </c>
      <c r="C1318" s="4">
        <v>8.9079999999999995</v>
      </c>
      <c r="D1318" s="8">
        <f>LOOKUP(EOMONTH(A1318,0),Target_Prices!A$2:A$38,Target_Prices!M$2:M$38)</f>
        <v>8.5809499999999996</v>
      </c>
      <c r="E1318">
        <f t="shared" si="43"/>
        <v>1.5503875968992054E-2</v>
      </c>
      <c r="F1318">
        <f t="shared" si="44"/>
        <v>-3.6714189492590914E-2</v>
      </c>
    </row>
    <row r="1319" spans="1:6" x14ac:dyDescent="0.35">
      <c r="A1319" s="16">
        <v>46022</v>
      </c>
      <c r="B1319" t="s">
        <v>12</v>
      </c>
      <c r="C1319" s="3">
        <v>8.8770000000000007</v>
      </c>
      <c r="D1319" s="8">
        <f>LOOKUP(EOMONTH(A1319,0),Target_Prices!A$2:A$38,Target_Prices!M$2:M$38)</f>
        <v>9.3049999999999997</v>
      </c>
      <c r="E1319">
        <f t="shared" si="43"/>
        <v>-3.4800179613828641E-3</v>
      </c>
      <c r="F1319">
        <f t="shared" si="44"/>
        <v>4.8214486876196803E-2</v>
      </c>
    </row>
    <row r="1320" spans="1:6" x14ac:dyDescent="0.35">
      <c r="A1320" s="15">
        <v>46052</v>
      </c>
      <c r="B1320" t="s">
        <v>12</v>
      </c>
      <c r="C1320" s="4">
        <v>9.3079999999999998</v>
      </c>
      <c r="D1320" s="8">
        <f>LOOKUP(EOMONTH(A1320,0),Target_Prices!A$2:A$38,Target_Prices!M$2:M$38)</f>
        <v>9.3049999999999997</v>
      </c>
      <c r="E1320">
        <f t="shared" si="43"/>
        <v>4.8552438887011329E-2</v>
      </c>
      <c r="F1320">
        <f t="shared" si="44"/>
        <v>-3.223033949291055E-4</v>
      </c>
    </row>
    <row r="1321" spans="1:6" s="11" customFormat="1" x14ac:dyDescent="0.35">
      <c r="A1321" s="15">
        <v>46080</v>
      </c>
      <c r="B1321" s="11" t="s">
        <v>12</v>
      </c>
      <c r="C1321" s="3">
        <v>10.194000000000001</v>
      </c>
      <c r="D1321" s="8">
        <f>LOOKUP(EOMONTH(A1321,0),Target_Prices!A$2:A$38,Target_Prices!M$2:M$38)</f>
        <v>9.3049999999999997</v>
      </c>
      <c r="E1321">
        <f>(C1321/C1320)-1</f>
        <v>9.5186935969058917E-2</v>
      </c>
      <c r="F1321">
        <f t="shared" si="44"/>
        <v>-8.720816166372386E-2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AADBE-551D-4F4F-AA12-E78DEE78AF3D}">
  <dimension ref="A1:K43"/>
  <sheetViews>
    <sheetView tabSelected="1" zoomScale="70" zoomScaleNormal="70" workbookViewId="0">
      <selection activeCell="E16" sqref="E16"/>
    </sheetView>
  </sheetViews>
  <sheetFormatPr defaultRowHeight="14.5" x14ac:dyDescent="0.35"/>
  <cols>
    <col min="1" max="1" width="13.08984375" bestFit="1" customWidth="1"/>
    <col min="2" max="2" width="10.54296875" customWidth="1"/>
    <col min="3" max="3" width="11.54296875" customWidth="1"/>
    <col min="4" max="4" width="24.7265625" customWidth="1"/>
    <col min="5" max="5" width="13" customWidth="1"/>
    <col min="6" max="6" width="12.81640625" customWidth="1"/>
    <col min="7" max="7" width="14.1796875" customWidth="1"/>
    <col min="8" max="8" width="21.1796875" customWidth="1"/>
    <col min="9" max="9" width="48.54296875" customWidth="1"/>
    <col min="10" max="10" width="47.7265625" customWidth="1"/>
    <col min="11" max="11" width="11.08984375" customWidth="1"/>
  </cols>
  <sheetData>
    <row r="1" spans="1:11" ht="79.5" customHeight="1" x14ac:dyDescent="0.35">
      <c r="A1" s="1" t="s">
        <v>100</v>
      </c>
      <c r="B1" s="1" t="s">
        <v>99</v>
      </c>
      <c r="C1" s="32" t="s">
        <v>98</v>
      </c>
      <c r="D1" s="32" t="s">
        <v>97</v>
      </c>
      <c r="E1" s="32" t="s">
        <v>96</v>
      </c>
      <c r="F1" s="32" t="s">
        <v>95</v>
      </c>
      <c r="G1" s="32" t="s">
        <v>94</v>
      </c>
      <c r="H1" s="32" t="s">
        <v>93</v>
      </c>
      <c r="I1" s="32" t="s">
        <v>92</v>
      </c>
      <c r="J1" s="32" t="s">
        <v>91</v>
      </c>
      <c r="K1" s="32" t="s">
        <v>90</v>
      </c>
    </row>
    <row r="2" spans="1:11" x14ac:dyDescent="0.35">
      <c r="A2" t="s">
        <v>4</v>
      </c>
      <c r="B2" t="s">
        <v>71</v>
      </c>
      <c r="C2" s="22">
        <v>21678.639999999999</v>
      </c>
      <c r="D2" s="9" t="s">
        <v>79</v>
      </c>
      <c r="E2">
        <v>23</v>
      </c>
      <c r="F2" s="25">
        <v>3163378</v>
      </c>
      <c r="G2">
        <v>21.18</v>
      </c>
      <c r="H2" s="24">
        <f>F2*G2</f>
        <v>67000346.039999999</v>
      </c>
      <c r="I2" t="s">
        <v>88</v>
      </c>
      <c r="J2" t="s">
        <v>89</v>
      </c>
      <c r="K2" s="28" t="s">
        <v>64</v>
      </c>
    </row>
    <row r="3" spans="1:11" x14ac:dyDescent="0.35">
      <c r="A3" t="s">
        <v>6</v>
      </c>
      <c r="B3" t="s">
        <v>70</v>
      </c>
      <c r="C3" s="22">
        <v>17671.62</v>
      </c>
      <c r="D3" s="9" t="s">
        <v>79</v>
      </c>
      <c r="E3">
        <v>30</v>
      </c>
      <c r="F3" s="31">
        <v>1375843</v>
      </c>
      <c r="G3">
        <v>19.61</v>
      </c>
      <c r="H3" s="24">
        <f>F3*G3</f>
        <v>26980281.23</v>
      </c>
      <c r="I3" t="s">
        <v>88</v>
      </c>
      <c r="J3" t="s">
        <v>77</v>
      </c>
      <c r="K3" s="27" t="s">
        <v>68</v>
      </c>
    </row>
    <row r="4" spans="1:11" x14ac:dyDescent="0.35">
      <c r="A4" t="s">
        <v>7</v>
      </c>
      <c r="B4" t="s">
        <v>69</v>
      </c>
      <c r="C4" s="22">
        <v>16365.59</v>
      </c>
      <c r="D4" s="9" t="s">
        <v>79</v>
      </c>
      <c r="E4">
        <v>21</v>
      </c>
      <c r="F4" s="25">
        <v>1520903</v>
      </c>
      <c r="G4">
        <v>21.04</v>
      </c>
      <c r="H4" s="24">
        <f>F4*G4</f>
        <v>31999799.119999997</v>
      </c>
      <c r="I4" t="s">
        <v>87</v>
      </c>
      <c r="J4" s="30" t="s">
        <v>86</v>
      </c>
      <c r="K4" s="28" t="s">
        <v>68</v>
      </c>
    </row>
    <row r="5" spans="1:11" ht="29" x14ac:dyDescent="0.35">
      <c r="A5" t="s">
        <v>40</v>
      </c>
      <c r="B5" t="s">
        <v>67</v>
      </c>
      <c r="C5" s="22">
        <v>7575.8</v>
      </c>
      <c r="D5" s="9" t="s">
        <v>79</v>
      </c>
      <c r="E5">
        <v>9</v>
      </c>
      <c r="F5" s="25">
        <v>9074883</v>
      </c>
      <c r="G5">
        <v>3.71</v>
      </c>
      <c r="H5" s="24">
        <f>F5*G5</f>
        <v>33667815.93</v>
      </c>
      <c r="I5" t="s">
        <v>81</v>
      </c>
      <c r="J5" s="29" t="s">
        <v>85</v>
      </c>
      <c r="K5" s="28" t="s">
        <v>66</v>
      </c>
    </row>
    <row r="6" spans="1:11" x14ac:dyDescent="0.35">
      <c r="A6" t="s">
        <v>5</v>
      </c>
      <c r="B6" t="s">
        <v>65</v>
      </c>
      <c r="C6" s="22">
        <v>27430.799999999999</v>
      </c>
      <c r="D6" s="9" t="s">
        <v>79</v>
      </c>
      <c r="E6">
        <v>16</v>
      </c>
      <c r="F6" s="25">
        <v>1470664</v>
      </c>
      <c r="G6">
        <v>20.39</v>
      </c>
      <c r="H6" s="24">
        <f>F6*G6</f>
        <v>29986838.960000001</v>
      </c>
      <c r="I6" t="s">
        <v>81</v>
      </c>
      <c r="J6" s="27" t="s">
        <v>84</v>
      </c>
      <c r="K6" t="s">
        <v>64</v>
      </c>
    </row>
    <row r="7" spans="1:11" x14ac:dyDescent="0.35">
      <c r="A7" t="s">
        <v>9</v>
      </c>
      <c r="B7" t="s">
        <v>63</v>
      </c>
      <c r="C7" s="22">
        <v>63952.36</v>
      </c>
      <c r="D7" s="9" t="s">
        <v>79</v>
      </c>
      <c r="E7">
        <v>19</v>
      </c>
      <c r="F7" s="25">
        <v>4349721</v>
      </c>
      <c r="G7">
        <v>26.39</v>
      </c>
      <c r="H7" s="24">
        <f>F7*G7</f>
        <v>114789137.19</v>
      </c>
      <c r="I7" t="s">
        <v>81</v>
      </c>
      <c r="J7" t="s">
        <v>83</v>
      </c>
      <c r="K7" t="s">
        <v>62</v>
      </c>
    </row>
    <row r="8" spans="1:11" x14ac:dyDescent="0.35">
      <c r="A8" t="s">
        <v>32</v>
      </c>
      <c r="B8" t="s">
        <v>61</v>
      </c>
      <c r="C8" s="22">
        <v>9754.4</v>
      </c>
      <c r="D8" t="s">
        <v>79</v>
      </c>
      <c r="E8">
        <v>19</v>
      </c>
      <c r="F8" s="25">
        <v>13350397</v>
      </c>
      <c r="G8">
        <v>2.2000000000000002</v>
      </c>
      <c r="H8" s="24">
        <f>F8*G8</f>
        <v>29370873.400000002</v>
      </c>
      <c r="I8" t="s">
        <v>81</v>
      </c>
      <c r="J8" t="s">
        <v>83</v>
      </c>
      <c r="K8" t="s">
        <v>59</v>
      </c>
    </row>
    <row r="9" spans="1:11" x14ac:dyDescent="0.35">
      <c r="A9" t="s">
        <v>1</v>
      </c>
      <c r="B9" t="s">
        <v>60</v>
      </c>
      <c r="C9" s="22">
        <v>35837.67</v>
      </c>
      <c r="D9" s="9" t="s">
        <v>79</v>
      </c>
      <c r="E9">
        <v>18</v>
      </c>
      <c r="F9" s="25">
        <v>3402160</v>
      </c>
      <c r="G9">
        <v>29.74</v>
      </c>
      <c r="H9" s="24">
        <f>F9*G9</f>
        <v>101180238.39999999</v>
      </c>
      <c r="I9" t="s">
        <v>81</v>
      </c>
      <c r="J9" t="s">
        <v>77</v>
      </c>
      <c r="K9" t="s">
        <v>59</v>
      </c>
    </row>
    <row r="10" spans="1:11" x14ac:dyDescent="0.35">
      <c r="A10" t="s">
        <v>2</v>
      </c>
      <c r="B10" t="s">
        <v>58</v>
      </c>
      <c r="C10" s="22">
        <v>17767.29</v>
      </c>
      <c r="D10" s="9" t="s">
        <v>79</v>
      </c>
      <c r="E10">
        <v>21</v>
      </c>
      <c r="F10" s="25">
        <v>13107864</v>
      </c>
      <c r="G10">
        <v>4.33</v>
      </c>
      <c r="H10" s="24">
        <f>F10*G10</f>
        <v>56757051.119999997</v>
      </c>
      <c r="I10" t="s">
        <v>78</v>
      </c>
      <c r="J10" t="s">
        <v>80</v>
      </c>
      <c r="K10" t="s">
        <v>57</v>
      </c>
    </row>
    <row r="11" spans="1:11" x14ac:dyDescent="0.35">
      <c r="A11" t="s">
        <v>3</v>
      </c>
      <c r="B11" t="s">
        <v>56</v>
      </c>
      <c r="C11" s="22">
        <v>38560.730000000003</v>
      </c>
      <c r="D11" s="9" t="s">
        <v>79</v>
      </c>
      <c r="E11">
        <v>28</v>
      </c>
      <c r="F11" s="25">
        <v>2066534</v>
      </c>
      <c r="G11">
        <v>52.04</v>
      </c>
      <c r="H11" s="24">
        <f>F11*G11</f>
        <v>107542429.36</v>
      </c>
      <c r="I11" t="s">
        <v>82</v>
      </c>
      <c r="J11" t="s">
        <v>80</v>
      </c>
      <c r="K11" t="s">
        <v>55</v>
      </c>
    </row>
    <row r="12" spans="1:11" x14ac:dyDescent="0.35">
      <c r="A12" t="s">
        <v>11</v>
      </c>
      <c r="B12" t="s">
        <v>54</v>
      </c>
      <c r="C12" s="26">
        <v>132502.15</v>
      </c>
      <c r="D12" s="9" t="s">
        <v>79</v>
      </c>
      <c r="E12">
        <v>27</v>
      </c>
      <c r="F12" s="25">
        <v>9828868</v>
      </c>
      <c r="G12">
        <v>19.79</v>
      </c>
      <c r="H12" s="24">
        <f>F12*G12</f>
        <v>194513297.72</v>
      </c>
      <c r="I12" t="s">
        <v>81</v>
      </c>
      <c r="J12" t="s">
        <v>80</v>
      </c>
      <c r="K12" t="s">
        <v>53</v>
      </c>
    </row>
    <row r="13" spans="1:11" x14ac:dyDescent="0.35">
      <c r="A13" t="s">
        <v>12</v>
      </c>
      <c r="B13" t="s">
        <v>52</v>
      </c>
      <c r="C13" s="22">
        <v>92242.19</v>
      </c>
      <c r="D13" s="9" t="s">
        <v>79</v>
      </c>
      <c r="E13">
        <v>24</v>
      </c>
      <c r="F13" s="25">
        <v>25093547</v>
      </c>
      <c r="G13">
        <v>9.68</v>
      </c>
      <c r="H13" s="24">
        <f>F13*G13</f>
        <v>242905534.95999998</v>
      </c>
      <c r="I13" t="s">
        <v>78</v>
      </c>
      <c r="J13" t="s">
        <v>77</v>
      </c>
      <c r="K13" t="s">
        <v>51</v>
      </c>
    </row>
    <row r="16" spans="1:11" ht="43.5" x14ac:dyDescent="0.35">
      <c r="A16" s="21" t="s">
        <v>50</v>
      </c>
      <c r="B16" s="21" t="s">
        <v>76</v>
      </c>
      <c r="C16" s="21" t="s">
        <v>49</v>
      </c>
      <c r="D16" s="20" t="s">
        <v>48</v>
      </c>
      <c r="E16" s="19" t="s">
        <v>75</v>
      </c>
      <c r="F16" s="19" t="s">
        <v>74</v>
      </c>
      <c r="G16" s="19" t="s">
        <v>73</v>
      </c>
      <c r="H16" s="21" t="s">
        <v>72</v>
      </c>
      <c r="I16" s="19" t="s">
        <v>47</v>
      </c>
    </row>
    <row r="17" spans="1:9" ht="18.5" x14ac:dyDescent="0.45">
      <c r="A17" s="18" t="s">
        <v>4</v>
      </c>
      <c r="B17" t="s">
        <v>71</v>
      </c>
      <c r="C17" t="s">
        <v>36</v>
      </c>
      <c r="D17" t="s">
        <v>46</v>
      </c>
      <c r="E17" s="22">
        <v>21678.639999999999</v>
      </c>
      <c r="F17">
        <v>23</v>
      </c>
      <c r="G17" s="22">
        <f>E17*F17</f>
        <v>498608.72</v>
      </c>
      <c r="H17" s="23" t="s">
        <v>64</v>
      </c>
      <c r="I17" t="s">
        <v>45</v>
      </c>
    </row>
    <row r="18" spans="1:9" ht="18.5" x14ac:dyDescent="0.45">
      <c r="A18" s="18" t="s">
        <v>6</v>
      </c>
      <c r="B18" t="s">
        <v>70</v>
      </c>
      <c r="C18" t="s">
        <v>43</v>
      </c>
      <c r="D18" t="s">
        <v>21</v>
      </c>
      <c r="E18" s="22">
        <v>17671.62</v>
      </c>
      <c r="F18">
        <v>30</v>
      </c>
      <c r="G18" s="22">
        <f>E18*F18</f>
        <v>530148.6</v>
      </c>
      <c r="H18" t="s">
        <v>68</v>
      </c>
      <c r="I18" t="s">
        <v>44</v>
      </c>
    </row>
    <row r="19" spans="1:9" ht="18.5" x14ac:dyDescent="0.45">
      <c r="A19" s="18" t="s">
        <v>7</v>
      </c>
      <c r="B19" t="s">
        <v>69</v>
      </c>
      <c r="C19" t="s">
        <v>43</v>
      </c>
      <c r="D19" t="s">
        <v>42</v>
      </c>
      <c r="E19" s="22">
        <v>16365.59</v>
      </c>
      <c r="F19">
        <v>21</v>
      </c>
      <c r="G19" s="22">
        <f>E19*F19</f>
        <v>343677.39</v>
      </c>
      <c r="H19" s="23" t="s">
        <v>68</v>
      </c>
      <c r="I19" t="s">
        <v>41</v>
      </c>
    </row>
    <row r="20" spans="1:9" ht="18.5" x14ac:dyDescent="0.45">
      <c r="A20" s="18" t="s">
        <v>40</v>
      </c>
      <c r="B20" t="s">
        <v>67</v>
      </c>
      <c r="C20" t="s">
        <v>39</v>
      </c>
      <c r="D20" t="s">
        <v>38</v>
      </c>
      <c r="E20" s="22">
        <v>7575.8</v>
      </c>
      <c r="F20">
        <v>9</v>
      </c>
      <c r="G20" s="22">
        <f>E20*F20</f>
        <v>68182.2</v>
      </c>
      <c r="H20" s="23" t="s">
        <v>66</v>
      </c>
      <c r="I20" t="s">
        <v>37</v>
      </c>
    </row>
    <row r="21" spans="1:9" ht="18.5" x14ac:dyDescent="0.45">
      <c r="A21" s="18" t="s">
        <v>5</v>
      </c>
      <c r="B21" t="s">
        <v>65</v>
      </c>
      <c r="C21" t="s">
        <v>36</v>
      </c>
      <c r="D21" t="s">
        <v>21</v>
      </c>
      <c r="E21" s="22">
        <v>27430.799999999999</v>
      </c>
      <c r="F21">
        <v>16</v>
      </c>
      <c r="G21" s="22">
        <f>E21*F21</f>
        <v>438892.79999999999</v>
      </c>
      <c r="H21" t="s">
        <v>64</v>
      </c>
      <c r="I21" t="s">
        <v>35</v>
      </c>
    </row>
    <row r="22" spans="1:9" ht="18.5" x14ac:dyDescent="0.45">
      <c r="A22" s="18" t="s">
        <v>9</v>
      </c>
      <c r="B22" t="s">
        <v>63</v>
      </c>
      <c r="C22" t="s">
        <v>34</v>
      </c>
      <c r="D22" t="s">
        <v>21</v>
      </c>
      <c r="E22" s="22">
        <v>63952.36</v>
      </c>
      <c r="F22">
        <v>19</v>
      </c>
      <c r="G22" s="22">
        <f>E22*F22</f>
        <v>1215094.8400000001</v>
      </c>
      <c r="H22" t="s">
        <v>62</v>
      </c>
      <c r="I22" t="s">
        <v>33</v>
      </c>
    </row>
    <row r="23" spans="1:9" ht="18.5" x14ac:dyDescent="0.45">
      <c r="A23" s="18" t="s">
        <v>32</v>
      </c>
      <c r="B23" t="s">
        <v>61</v>
      </c>
      <c r="C23" t="s">
        <v>30</v>
      </c>
      <c r="D23" t="s">
        <v>21</v>
      </c>
      <c r="E23" s="22">
        <v>9754.4</v>
      </c>
      <c r="F23">
        <v>19</v>
      </c>
      <c r="G23" s="22">
        <f>E23*F23</f>
        <v>185333.6</v>
      </c>
      <c r="H23" t="s">
        <v>59</v>
      </c>
      <c r="I23" t="s">
        <v>31</v>
      </c>
    </row>
    <row r="24" spans="1:9" ht="18.5" x14ac:dyDescent="0.45">
      <c r="A24" s="18" t="s">
        <v>1</v>
      </c>
      <c r="B24" t="s">
        <v>60</v>
      </c>
      <c r="C24" t="s">
        <v>30</v>
      </c>
      <c r="D24" t="s">
        <v>21</v>
      </c>
      <c r="E24" s="22">
        <v>35837.67</v>
      </c>
      <c r="F24">
        <v>18</v>
      </c>
      <c r="G24" s="22">
        <f>E24*F24</f>
        <v>645078.05999999994</v>
      </c>
      <c r="H24" t="s">
        <v>59</v>
      </c>
      <c r="I24" t="s">
        <v>29</v>
      </c>
    </row>
    <row r="25" spans="1:9" ht="18.5" x14ac:dyDescent="0.45">
      <c r="A25" s="18" t="s">
        <v>2</v>
      </c>
      <c r="B25" t="s">
        <v>58</v>
      </c>
      <c r="C25" t="s">
        <v>28</v>
      </c>
      <c r="D25" t="s">
        <v>21</v>
      </c>
      <c r="E25" s="22">
        <v>17767.29</v>
      </c>
      <c r="F25">
        <v>21</v>
      </c>
      <c r="G25" s="22">
        <f>E25*F25</f>
        <v>373113.09</v>
      </c>
      <c r="H25" t="s">
        <v>57</v>
      </c>
      <c r="I25" t="s">
        <v>27</v>
      </c>
    </row>
    <row r="26" spans="1:9" ht="18.5" x14ac:dyDescent="0.45">
      <c r="A26" s="18" t="s">
        <v>3</v>
      </c>
      <c r="B26" t="s">
        <v>56</v>
      </c>
      <c r="C26" t="s">
        <v>26</v>
      </c>
      <c r="D26" t="s">
        <v>21</v>
      </c>
      <c r="E26" s="22">
        <v>38560.730000000003</v>
      </c>
      <c r="F26">
        <v>28</v>
      </c>
      <c r="G26" s="22">
        <f>E26*F26</f>
        <v>1079700.4400000002</v>
      </c>
      <c r="H26" t="s">
        <v>55</v>
      </c>
      <c r="I26" t="s">
        <v>25</v>
      </c>
    </row>
    <row r="27" spans="1:9" ht="18.5" x14ac:dyDescent="0.45">
      <c r="A27" s="18" t="s">
        <v>11</v>
      </c>
      <c r="B27" t="s">
        <v>54</v>
      </c>
      <c r="C27" t="s">
        <v>24</v>
      </c>
      <c r="D27" t="s">
        <v>21</v>
      </c>
      <c r="E27" s="22">
        <v>132502.15</v>
      </c>
      <c r="F27">
        <v>27</v>
      </c>
      <c r="G27" s="22">
        <f>E27*F27</f>
        <v>3577558.05</v>
      </c>
      <c r="H27" t="s">
        <v>53</v>
      </c>
      <c r="I27" t="s">
        <v>23</v>
      </c>
    </row>
    <row r="28" spans="1:9" ht="18.5" x14ac:dyDescent="0.45">
      <c r="A28" s="18" t="s">
        <v>12</v>
      </c>
      <c r="B28" t="s">
        <v>52</v>
      </c>
      <c r="C28" t="s">
        <v>22</v>
      </c>
      <c r="D28" t="s">
        <v>21</v>
      </c>
      <c r="E28" s="22">
        <v>92242.19</v>
      </c>
      <c r="F28">
        <v>24</v>
      </c>
      <c r="G28" s="22">
        <f>E28*F28</f>
        <v>2213812.56</v>
      </c>
      <c r="H28" t="s">
        <v>51</v>
      </c>
      <c r="I28" t="s">
        <v>20</v>
      </c>
    </row>
    <row r="31" spans="1:9" ht="29" x14ac:dyDescent="0.35">
      <c r="A31" s="21" t="s">
        <v>50</v>
      </c>
      <c r="B31" s="21" t="s">
        <v>49</v>
      </c>
      <c r="C31" s="20" t="s">
        <v>48</v>
      </c>
      <c r="D31" s="19" t="s">
        <v>47</v>
      </c>
    </row>
    <row r="32" spans="1:9" ht="18.5" x14ac:dyDescent="0.45">
      <c r="A32" s="18" t="s">
        <v>4</v>
      </c>
      <c r="B32" t="s">
        <v>36</v>
      </c>
      <c r="C32" t="s">
        <v>46</v>
      </c>
      <c r="D32" t="s">
        <v>45</v>
      </c>
    </row>
    <row r="33" spans="1:4" ht="18.5" x14ac:dyDescent="0.45">
      <c r="A33" s="18" t="s">
        <v>6</v>
      </c>
      <c r="B33" t="s">
        <v>43</v>
      </c>
      <c r="C33" t="s">
        <v>21</v>
      </c>
      <c r="D33" t="s">
        <v>44</v>
      </c>
    </row>
    <row r="34" spans="1:4" ht="18.5" x14ac:dyDescent="0.45">
      <c r="A34" s="18" t="s">
        <v>7</v>
      </c>
      <c r="B34" t="s">
        <v>43</v>
      </c>
      <c r="C34" t="s">
        <v>42</v>
      </c>
      <c r="D34" t="s">
        <v>41</v>
      </c>
    </row>
    <row r="35" spans="1:4" ht="18.5" x14ac:dyDescent="0.45">
      <c r="A35" s="18" t="s">
        <v>40</v>
      </c>
      <c r="B35" t="s">
        <v>39</v>
      </c>
      <c r="C35" t="s">
        <v>38</v>
      </c>
      <c r="D35" t="s">
        <v>37</v>
      </c>
    </row>
    <row r="36" spans="1:4" ht="18.5" x14ac:dyDescent="0.45">
      <c r="A36" s="18" t="s">
        <v>5</v>
      </c>
      <c r="B36" t="s">
        <v>36</v>
      </c>
      <c r="C36" t="s">
        <v>21</v>
      </c>
      <c r="D36" t="s">
        <v>35</v>
      </c>
    </row>
    <row r="37" spans="1:4" ht="18.5" x14ac:dyDescent="0.45">
      <c r="A37" s="18" t="s">
        <v>9</v>
      </c>
      <c r="B37" t="s">
        <v>34</v>
      </c>
      <c r="C37" t="s">
        <v>21</v>
      </c>
      <c r="D37" t="s">
        <v>33</v>
      </c>
    </row>
    <row r="38" spans="1:4" ht="18.5" x14ac:dyDescent="0.45">
      <c r="A38" s="18" t="s">
        <v>32</v>
      </c>
      <c r="B38" t="s">
        <v>30</v>
      </c>
      <c r="C38" t="s">
        <v>21</v>
      </c>
      <c r="D38" t="s">
        <v>31</v>
      </c>
    </row>
    <row r="39" spans="1:4" ht="18.5" x14ac:dyDescent="0.45">
      <c r="A39" s="18" t="s">
        <v>1</v>
      </c>
      <c r="B39" t="s">
        <v>30</v>
      </c>
      <c r="C39" t="s">
        <v>21</v>
      </c>
      <c r="D39" t="s">
        <v>29</v>
      </c>
    </row>
    <row r="40" spans="1:4" ht="18.5" x14ac:dyDescent="0.45">
      <c r="A40" s="18" t="s">
        <v>2</v>
      </c>
      <c r="B40" t="s">
        <v>28</v>
      </c>
      <c r="C40" t="s">
        <v>21</v>
      </c>
      <c r="D40" t="s">
        <v>27</v>
      </c>
    </row>
    <row r="41" spans="1:4" ht="18.5" x14ac:dyDescent="0.45">
      <c r="A41" s="18" t="s">
        <v>3</v>
      </c>
      <c r="B41" t="s">
        <v>26</v>
      </c>
      <c r="C41" t="s">
        <v>21</v>
      </c>
      <c r="D41" t="s">
        <v>25</v>
      </c>
    </row>
    <row r="42" spans="1:4" ht="18.5" x14ac:dyDescent="0.45">
      <c r="A42" s="18" t="s">
        <v>11</v>
      </c>
      <c r="B42" t="s">
        <v>24</v>
      </c>
      <c r="C42" t="s">
        <v>21</v>
      </c>
      <c r="D42" t="s">
        <v>23</v>
      </c>
    </row>
    <row r="43" spans="1:4" ht="18.5" x14ac:dyDescent="0.45">
      <c r="A43" s="18" t="s">
        <v>12</v>
      </c>
      <c r="B43" t="s">
        <v>22</v>
      </c>
      <c r="C43" t="s">
        <v>21</v>
      </c>
      <c r="D43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77c7fb7-08b1-4628-8cc9-b233c5b640e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A662DE25CB80F4A9A4430DBCB9F9500" ma:contentTypeVersion="6" ma:contentTypeDescription="Opret et nyt dokument." ma:contentTypeScope="" ma:versionID="318457a412edad3d70c06bfbe7aa24ef">
  <xsd:schema xmlns:xsd="http://www.w3.org/2001/XMLSchema" xmlns:xs="http://www.w3.org/2001/XMLSchema" xmlns:p="http://schemas.microsoft.com/office/2006/metadata/properties" xmlns:ns3="f77c7fb7-08b1-4628-8cc9-b233c5b640e7" targetNamespace="http://schemas.microsoft.com/office/2006/metadata/properties" ma:root="true" ma:fieldsID="a953f28a4311a3155b54d53717c58e4c" ns3:_="">
    <xsd:import namespace="f77c7fb7-08b1-4628-8cc9-b233c5b640e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7c7fb7-08b1-4628-8cc9-b233c5b640e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66B3A3A-5300-43D1-A1F5-7F0FEDC0FD60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f77c7fb7-08b1-4628-8cc9-b233c5b640e7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9A5DCE9-F07B-4A75-99CC-A12F9DEDBF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7c7fb7-08b1-4628-8cc9-b233c5b640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22071F1-BD6A-44E5-9A3B-725F0D66DF0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Prices</vt:lpstr>
      <vt:lpstr>Target_Prices</vt:lpstr>
      <vt:lpstr>MSCI_EU</vt:lpstr>
      <vt:lpstr>Master_data</vt:lpstr>
      <vt:lpstr>FIRM 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Chioma Livinus</dc:creator>
  <cp:lastModifiedBy>Stephanie Chioma Livinus</cp:lastModifiedBy>
  <dcterms:created xsi:type="dcterms:W3CDTF">2026-03-11T13:49:24Z</dcterms:created>
  <dcterms:modified xsi:type="dcterms:W3CDTF">2026-05-31T15:42:25Z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0x0101000A662DE25CB80F4A9A4430DBCB9F9500</vt:lpwstr>
  </property>
</Properties>
</file>